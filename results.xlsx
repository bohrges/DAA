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esktop\uni\MEI 1ano1sem\DAA\trabalho\DAA\"/>
    </mc:Choice>
  </mc:AlternateContent>
  <xr:revisionPtr revIDLastSave="0" documentId="13_ncr:1_{F4114D56-6AFA-4C31-89AB-3F002AADF719}" xr6:coauthVersionLast="47" xr6:coauthVersionMax="47" xr10:uidLastSave="{00000000-0000-0000-0000-000000000000}"/>
  <bookViews>
    <workbookView xWindow="10800" yWindow="0" windowWidth="10800" windowHeight="13800" xr2:uid="{3DE62CC3-4057-4F78-B62F-72A1E4BA0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5" i="1" l="1"/>
  <c r="AA14" i="1"/>
  <c r="AA13" i="1"/>
  <c r="AA12" i="1"/>
  <c r="AA11" i="1"/>
  <c r="AA10" i="1"/>
  <c r="AA9" i="1"/>
  <c r="AA8" i="1"/>
  <c r="Z15" i="1"/>
  <c r="AB15" i="1" s="1"/>
  <c r="Z14" i="1"/>
  <c r="AB14" i="1" s="1"/>
  <c r="Z13" i="1"/>
  <c r="AB13" i="1" s="1"/>
  <c r="Z12" i="1"/>
  <c r="AB12" i="1" s="1"/>
  <c r="Z11" i="1"/>
  <c r="AB11" i="1" s="1"/>
  <c r="Z10" i="1"/>
  <c r="AB10" i="1" s="1"/>
  <c r="Z9" i="1"/>
  <c r="AB9" i="1" s="1"/>
  <c r="Z8" i="1"/>
  <c r="AB8" i="1" s="1"/>
  <c r="Y15" i="1"/>
  <c r="Y14" i="1"/>
  <c r="Y13" i="1"/>
  <c r="Y12" i="1"/>
  <c r="Y11" i="1"/>
  <c r="Y10" i="1"/>
  <c r="Y9" i="1"/>
  <c r="Y8" i="1"/>
</calcChain>
</file>

<file path=xl/sharedStrings.xml><?xml version="1.0" encoding="utf-8"?>
<sst xmlns="http://schemas.openxmlformats.org/spreadsheetml/2006/main" count="2529" uniqueCount="381">
  <si>
    <t>Model</t>
  </si>
  <si>
    <t>Version</t>
  </si>
  <si>
    <t xml:space="preserve">Tranforming </t>
  </si>
  <si>
    <t>Batch</t>
  </si>
  <si>
    <t>and</t>
  </si>
  <si>
    <t>Description</t>
  </si>
  <si>
    <t>Removing columns</t>
  </si>
  <si>
    <t>with irrelevant</t>
  </si>
  <si>
    <t>information</t>
  </si>
  <si>
    <t>diagnostics_Mask-original_BoundingBox</t>
  </si>
  <si>
    <t>into useful data</t>
  </si>
  <si>
    <t>diagnostics_Mask-original_CenterOfMassIndex</t>
  </si>
  <si>
    <t>Dropping</t>
  </si>
  <si>
    <t>constant</t>
  </si>
  <si>
    <t>features</t>
  </si>
  <si>
    <t>Dropping non-target</t>
  </si>
  <si>
    <t>cols with</t>
  </si>
  <si>
    <t>corr = 1</t>
  </si>
  <si>
    <t xml:space="preserve">Dropping cols with </t>
  </si>
  <si>
    <t>low corr with</t>
  </si>
  <si>
    <t>target</t>
  </si>
  <si>
    <t>Treating</t>
  </si>
  <si>
    <t>Outliers</t>
  </si>
  <si>
    <t>Standardizing</t>
  </si>
  <si>
    <t>Oversampling</t>
  </si>
  <si>
    <t>Feature</t>
  </si>
  <si>
    <t>Selection</t>
  </si>
  <si>
    <t>Dimensionality</t>
  </si>
  <si>
    <t>Reduction</t>
  </si>
  <si>
    <t>Hyperparamethers</t>
  </si>
  <si>
    <t>Local</t>
  </si>
  <si>
    <t>Conclusions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</si>
  <si>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</si>
  <si>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</si>
  <si>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</si>
  <si>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</si>
  <si>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</si>
  <si>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</si>
  <si>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</si>
  <si>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</si>
  <si>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</si>
  <si>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</si>
  <si>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</si>
  <si>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</si>
  <si>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</si>
  <si>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</si>
  <si>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</si>
  <si>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</si>
  <si>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</si>
  <si>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</si>
  <si>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</si>
  <si>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</si>
  <si>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</si>
  <si>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</si>
  <si>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</si>
  <si>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</si>
  <si>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</si>
  <si>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</si>
  <si>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</si>
  <si>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</si>
  <si>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</si>
  <si>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</si>
  <si>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</si>
  <si>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</si>
  <si>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</si>
  <si>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</si>
  <si>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</si>
  <si>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</si>
  <si>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</si>
  <si>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</si>
  <si>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</si>
  <si>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</si>
  <si>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</si>
  <si>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</si>
  <si>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</si>
  <si>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</si>
  <si>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</si>
  <si>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</si>
  <si>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</si>
  <si>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</si>
  <si>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</si>
  <si>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</si>
  <si>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</si>
  <si>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</si>
  <si>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</si>
  <si>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</si>
  <si>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</si>
  <si>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</si>
  <si>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no</t>
  </si>
  <si>
    <t>RF</t>
  </si>
  <si>
    <t>XGB</t>
  </si>
  <si>
    <t>Stacking</t>
  </si>
  <si>
    <t>-</t>
  </si>
  <si>
    <t>high corr</t>
  </si>
  <si>
    <t>yes (closest bound)</t>
  </si>
  <si>
    <t>yes</t>
  </si>
  <si>
    <t>yes (median)</t>
  </si>
  <si>
    <t>Batch 1</t>
  </si>
  <si>
    <t>Data</t>
  </si>
  <si>
    <t>Treatment</t>
  </si>
  <si>
    <t>&gt;&gt;&gt; Outlier Treatment seems to be benefitial (with closest bound)</t>
  </si>
  <si>
    <t>&gt;&gt;&gt; Oversampling causes inconsistency</t>
  </si>
  <si>
    <t>&gt;&gt;&gt; No strong conclusions can be drawn for the other methods</t>
  </si>
  <si>
    <t>Batch 2</t>
  </si>
  <si>
    <t xml:space="preserve">Exploring </t>
  </si>
  <si>
    <t>v57</t>
  </si>
  <si>
    <t>v58</t>
  </si>
  <si>
    <t>SVM</t>
  </si>
  <si>
    <t>LogReg</t>
  </si>
  <si>
    <t>LGBM</t>
  </si>
  <si>
    <t>Voting</t>
  </si>
  <si>
    <t>entropy | 100 estimators | max_depth=None | min_samples_leaf=5 | balanced</t>
  </si>
  <si>
    <t>entropy | 100 estimators | max_depth=None | min_samples_leaf=10 | balanced</t>
  </si>
  <si>
    <t>entropy | 50 estimators | max_depth=20 | min_samples_leaf=10 | balanced</t>
  </si>
  <si>
    <t>est=v27,v30,v32,v34,v35 | voting=soft</t>
  </si>
  <si>
    <t>est=v28,v31,v33,v34,v35 | voting=soft</t>
  </si>
  <si>
    <t>est=v27,v32,v35 | voting=soft</t>
  </si>
  <si>
    <t>est=v28,v33,v35 | voting=soft</t>
  </si>
  <si>
    <t>Batch 3</t>
  </si>
  <si>
    <t xml:space="preserve">Exploring a more </t>
  </si>
  <si>
    <t>agrresive oversampling</t>
  </si>
  <si>
    <t>Batch 4</t>
  </si>
  <si>
    <t>Dimensionality Reduction</t>
  </si>
  <si>
    <t>and Feature Selection</t>
  </si>
  <si>
    <t>yes (ANOVA 200)</t>
  </si>
  <si>
    <t>yes (PCA 100)</t>
  </si>
  <si>
    <t>&gt;&gt;&gt; Results are still unstable</t>
  </si>
  <si>
    <t>ANN</t>
  </si>
  <si>
    <t>&gt;&gt;&gt; We finally reached some consistent results with oversampling</t>
  </si>
  <si>
    <t>(SMV and ANN)</t>
  </si>
  <si>
    <t>Batch 5</t>
  </si>
  <si>
    <t>Exploring</t>
  </si>
  <si>
    <t>on SVM and ANN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</si>
  <si>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</si>
  <si>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</si>
  <si>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</si>
  <si>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</si>
  <si>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</si>
  <si>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</si>
  <si>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</si>
  <si>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</si>
  <si>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</si>
  <si>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</si>
  <si>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linear</t>
  </si>
  <si>
    <t>poly | balanced | degree=3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</si>
  <si>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</si>
  <si>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</si>
  <si>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</si>
  <si>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</si>
  <si>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</si>
  <si>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</si>
  <si>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</si>
  <si>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</si>
  <si>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</si>
  <si>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</si>
  <si>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</si>
  <si>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</si>
  <si>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</si>
  <si>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</si>
  <si>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</si>
  <si>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</si>
  <si>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</si>
  <si>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</si>
  <si>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</si>
  <si>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</si>
  <si>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</si>
  <si>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Batch 6</t>
  </si>
  <si>
    <t>Exploring using UMAP</t>
  </si>
  <si>
    <t>instaed of PCA</t>
  </si>
  <si>
    <t>RFC</t>
  </si>
  <si>
    <t>v90</t>
  </si>
  <si>
    <t>v91</t>
  </si>
  <si>
    <t>v92</t>
  </si>
  <si>
    <t>v93</t>
  </si>
  <si>
    <t>v94</t>
  </si>
  <si>
    <t>v95</t>
  </si>
  <si>
    <t>v96</t>
  </si>
  <si>
    <t>v97</t>
  </si>
  <si>
    <t>LGM</t>
  </si>
  <si>
    <t>Batch 7</t>
  </si>
  <si>
    <t xml:space="preserve">Exploring different values </t>
  </si>
  <si>
    <t>for PCA and ANOVA</t>
  </si>
  <si>
    <t>yes (PCA 75)</t>
  </si>
  <si>
    <t>v98</t>
  </si>
  <si>
    <t>v99</t>
  </si>
  <si>
    <t>yes (PCA 50)</t>
  </si>
  <si>
    <t>v100</t>
  </si>
  <si>
    <t>yes (PCA 150)</t>
  </si>
  <si>
    <t>v101</t>
  </si>
  <si>
    <t>v102</t>
  </si>
  <si>
    <t>v103</t>
  </si>
  <si>
    <t>v104</t>
  </si>
  <si>
    <t>v105</t>
  </si>
  <si>
    <t>v106</t>
  </si>
  <si>
    <t>v107</t>
  </si>
  <si>
    <t>&gt;&gt;&gt; Some of these results</t>
  </si>
  <si>
    <t>&gt;&gt;&gt; The results are worst, we should go back to just ANOVA and PCA</t>
  </si>
  <si>
    <t>&gt;&gt;&gt; Some good results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</si>
  <si>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</si>
  <si>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</si>
  <si>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</si>
  <si>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</si>
  <si>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</si>
  <si>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</si>
  <si>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</si>
  <si>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</si>
  <si>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</si>
  <si>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Batch 8</t>
  </si>
  <si>
    <t xml:space="preserve">Exploring different </t>
  </si>
  <si>
    <t>oversampling values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</si>
  <si>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</si>
  <si>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</si>
  <si>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</si>
  <si>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</si>
  <si>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</si>
  <si>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</si>
  <si>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</si>
  <si>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</si>
  <si>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</si>
  <si>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</si>
  <si>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</si>
  <si>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</si>
  <si>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</si>
  <si>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</si>
  <si>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</si>
  <si>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1: 110,2: 96,3: 33,4: 105,5: 120</t>
  </si>
  <si>
    <t>1: 96,2: 96,3: 40,4: 96,5: 96</t>
  </si>
  <si>
    <t>1: 96,2: 96,3: 31,4: 96,5: 96 | BorderlineSmote | borderline-1</t>
  </si>
  <si>
    <t>1: 96,2: 96,3: 31,4: 96,5: 96 | BorderlineSmote | borderline-2</t>
  </si>
  <si>
    <t>yes (ANOVA 800)</t>
  </si>
  <si>
    <t>yes (PCA 400)</t>
  </si>
  <si>
    <t>(again)</t>
  </si>
  <si>
    <t>yes (PCA 200)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</si>
  <si>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</si>
  <si>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</si>
  <si>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</si>
  <si>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</si>
  <si>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</si>
  <si>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</si>
  <si>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</si>
  <si>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</si>
  <si>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</si>
  <si>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</si>
  <si>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</si>
  <si>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</si>
  <si>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Testing different</t>
  </si>
  <si>
    <t>random_seed values</t>
  </si>
  <si>
    <t>on the models</t>
  </si>
  <si>
    <t>(previsouly we used 123 only)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</si>
  <si>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</si>
  <si>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</si>
  <si>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</si>
  <si>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</si>
  <si>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</si>
  <si>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</si>
  <si>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</si>
  <si>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</si>
  <si>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</si>
  <si>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</si>
  <si>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</si>
  <si>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</si>
  <si>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</si>
  <si>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</si>
  <si>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</si>
  <si>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</si>
  <si>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</si>
  <si>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Kaggle (Public)</t>
  </si>
  <si>
    <t>Kaggle (Private)</t>
  </si>
  <si>
    <t>Chosen Model</t>
  </si>
  <si>
    <t>yes (&gt;0,95)</t>
  </si>
  <si>
    <t>yes (&gt;0,92)</t>
  </si>
  <si>
    <t>yes (&gt;0,05)</t>
  </si>
  <si>
    <t>yes (&gt;0,01)</t>
  </si>
  <si>
    <t>yes (min by 0,3 of max)</t>
  </si>
  <si>
    <t>rbf | balanced | C=0,2 | gamma='scale'</t>
  </si>
  <si>
    <t>rbf | balanced | C=0,3 | gamma='scale'</t>
  </si>
  <si>
    <t>multi:softprob | 200 estimators | max_depth=3 | learning_r=0,01 | subsample=0,8 | colsample_bytree=0,8 | min_child_weight=3</t>
  </si>
  <si>
    <t>multi:softprob | 100 estimators | max_depth=3 | learning_r=0,1 | subsample=0,8 | colsample_bytree=0,8 | min_child_weight=3</t>
  </si>
  <si>
    <t>max_iter=5000 | balanced | C=0,1 | penalty='l1' | solver='saga'</t>
  </si>
  <si>
    <t>100 estimators | max_depth=3 | learning_r=0,01 | balanced | min_child_samples=5 | min_split_gain=0,0 | feature_fraction=0,8 | reg_aplha=0,1 | reg_lambda=0,1</t>
  </si>
  <si>
    <t>est=v27,v30,v32,v34,v35 | final=LogReg(balanced,max_iter=1000,C=0,1,cv=5)</t>
  </si>
  <si>
    <t>est=v28,v31,v33,v34,v35 | final=LogReg(balanced,max_iter=1000,C=0,1,cv=5)</t>
  </si>
  <si>
    <t>est=v27,v32,v35 | final=LogReg(balanced,max_iter=1000,C=0,1,cv=5)</t>
  </si>
  <si>
    <t>est=v28,v33,v35 | final=LogReg(balanced,max_iter=1000,C=0,1,cv=5)</t>
  </si>
  <si>
    <t>yes (min by 0,3 of max and other by 1,0 of max)</t>
  </si>
  <si>
    <t>max_iter=4000 | balanced | C=0,1 | penalty='l1' | solver='saga'</t>
  </si>
  <si>
    <t>input-&gt;64-&gt;64-&gt;output | batch_size=48 | learning_r=0,001 | num_epochs=50</t>
  </si>
  <si>
    <t>rbf | balanced | C=1,0 | gamma='scale'</t>
  </si>
  <si>
    <t>rbf | balanced | C=1,2 | gamma='scale'</t>
  </si>
  <si>
    <t>rbf | balanced | C=1,6 | gamma='scale'</t>
  </si>
  <si>
    <t>seem to be good (above 0,4 and consistent)</t>
  </si>
  <si>
    <t>rbf | balanced | C=2,0 | gamma='scale'</t>
  </si>
  <si>
    <t>rbf | balanced | C=2,5 | gamma='scale'</t>
  </si>
  <si>
    <t>rbf | balanced | C=1,0 | gamma=0,01</t>
  </si>
  <si>
    <t>rbf | balanced | C=1,0 | gamma=0,1</t>
  </si>
  <si>
    <t>input-&gt;64-&gt;64-&gt;output | batch_size=48 | learning_r=0,01 | num_epochs=50 | dropout=0,5</t>
  </si>
  <si>
    <t>input-&gt;64-&gt;64-&gt;output | batch_size=48 | learning_r=0,001 | num_epochs=55 | dropout=0,5</t>
  </si>
  <si>
    <t>input-&gt;32-&gt;32-&gt;output | batch_size=48 | learning_r=0,001 | num_epochs=50 | dropout=0,5</t>
  </si>
  <si>
    <t>input-&gt;64-&gt;128-&gt;128-&gt;64-&gt;output | batch_size=48 | learning_r=0,001 | num_epochs=50 | dropout=0,5</t>
  </si>
  <si>
    <t>input-&gt;64-&gt;128-&gt;128-&gt;64-&gt;output | batch_size=32 | learning_r=0,001 | num_epochs=50 | dropout=0,5</t>
  </si>
  <si>
    <t>input-&gt;150-&gt;100-&gt;50-&gt;output | batch_size=32 | learning_r=0,001 | num_epochs=50 | dropout=0,5</t>
  </si>
  <si>
    <t>input-&gt;150-&gt;100-&gt;50-&gt;25-&gt;output | batch_size=32 | learning_r=0,001 | num_epochs=50 | dropout=0,5</t>
  </si>
  <si>
    <t>input-&gt;150-&gt;100-&gt;50-&gt;25-&gt;output | batch_size=32 | learning_r=0,001 | num_epochs=100 | dropout=0,5</t>
  </si>
  <si>
    <t>input-&gt;150-&gt;100-&gt;50-&gt;25-&gt;output | batch_size=32 | learning_r=0,001 | num_epochs=75 | dropout=0,5</t>
  </si>
  <si>
    <t>input-&gt;150-&gt;100-&gt;50-&gt;25-&gt;output | batch_size=48 | learning_r=0,001 | num_epochs=50 | dropout=0,5</t>
  </si>
  <si>
    <t>input-&gt;150-&gt;100-&gt;50-&gt;25-&gt;output | batch_size=24 | learning_r=0,001 | num_epochs=50 | dropout=0,5</t>
  </si>
  <si>
    <t>input-&gt;150-&gt;100-&gt;50-&gt;25-&gt;output | batch_size=12 | learning_r=0,001 | num_epochs=50 | dropout=0,5</t>
  </si>
  <si>
    <t>input-&gt;150-&gt;100-&gt;50-&gt;25-&gt;output | batch_size=24 | learning_r=0,002 | num_epochs=50 | dropout=0,5</t>
  </si>
  <si>
    <t>input-&gt;200-&gt;100-&gt;50-&gt;output | batch_size=32 | learning_r=0,001 | num_epochs=50 | dropout=0,5</t>
  </si>
  <si>
    <t>input-&gt;200-&gt;100-&gt;50-&gt;25-&gt;output | batch_size=64 | learning_r=0,001 | num_epochs=75 | dropout=0,5</t>
  </si>
  <si>
    <t>input-&gt;200-&gt;150-&gt;100-&gt;50-&gt;25-&gt;output | batch_size=24 | learning_r=0,001 | num_epochs=50 | dropout=0,5</t>
  </si>
  <si>
    <t>input-&gt;200-&gt;150-&gt;100-&gt;50-&gt;25-&gt;output | batch_size=24 | learning_r=0,001 | num_epochs=75 | dropout=0,5</t>
  </si>
  <si>
    <t>input-&gt;200-&gt;150-&gt;100-&gt;50-&gt;25-&gt;output | batch_size=24 | learning_r=0,001 | num_epochs=60 | dropout=0,5</t>
  </si>
  <si>
    <t>input-&gt;200-&gt;150-&gt;100-&gt;50-&gt;25-&gt;output | batch_size=24 | learning_r=0,001 | num_epochs=62 | dropout=0,5</t>
  </si>
  <si>
    <t>input-&gt;200-&gt;150-&gt;100-&gt;50-&gt;25-&gt;output | batch_size=32 | learning_r=0,001 | num_epochs=75 | dropout=0,5</t>
  </si>
  <si>
    <t>input-&gt;200-&gt;150-&gt;100-&gt;50-&gt;25-&gt;output | batch_size=64 | learning_r=0,001 | num_epochs=100 | dropout=0,5</t>
  </si>
  <si>
    <t>yes (UMAP-&gt; n_components=50, n_neighbours=50, min_dist=0,5, distance='euclidian')</t>
  </si>
  <si>
    <t>input-&gt;256-&gt;128-&gt;64-&gt;output | batch_size=32 | learning_r=0,0005 | num_epochs=150 | dropout=0,3</t>
  </si>
  <si>
    <t>yes (min by 0,33 of max and other by 1,0 of max)</t>
  </si>
  <si>
    <t>input-&gt;100-&gt;150-&gt;100-&gt;50-&gt;25-&gt;output | batch_size=48 | learning_r=0,001 | num_epochs=200 | dropout=0,5</t>
  </si>
  <si>
    <t>input-&gt;200-&gt;150-&gt;100-&gt;50-&gt;25-&gt;output | batch_size=48 | learning_r=0,001 | num_epochs=200 | dropout=0,5</t>
  </si>
  <si>
    <t>input-&gt;100-&gt;50-&gt;25-&gt;output | batch_size=48 | learning_r=0,001 | num_epochs=60 | dropout=0,5</t>
  </si>
  <si>
    <t>input-&gt;100-&gt;50-&gt;25-&gt;output | batch_size=24 | learning_r=0,001 | num_epochs=50 | dropout=0,5</t>
  </si>
  <si>
    <t>input-&gt;100-&gt;200-&gt;100-&gt;50-&gt;25-&gt;output | batch_size=32 | learning_r=0,001 | num_epochs=50 | dropout=0,5</t>
  </si>
  <si>
    <t>input-&gt;200-&gt;100-&gt;50-&gt;25-&gt;output | batch_size=32 | learning_r=0,001 | num_epochs=50 | dropout=0,5</t>
  </si>
  <si>
    <t>input-&gt;200-&gt;100-&gt;50-&gt;25-&gt;output | batch_size=24 | learning_r=0,001 | num_epochs=50 | dropout=0,5</t>
  </si>
  <si>
    <t>input-&gt;200-&gt;100-&gt;50-&gt;25-&gt;output | batch_size=32 | learning_r=0,001 | num_epochs=75 | dropout=0,5</t>
  </si>
  <si>
    <t>input-&gt;200-&gt;100-&gt;50-&gt;25-&gt;output | batch_size=32 | learning_r=0,002 | num_epochs=50 | dropout=0,5</t>
  </si>
  <si>
    <t>input-&gt;200-&gt;100-&gt;50-&gt;25-&gt;output | batch_size=32 | learning_r=0,001 | num_epochs=50 | dropout=0,3</t>
  </si>
  <si>
    <t>input-&gt;200-&gt;100-&gt;50-&gt;25-&gt;output | batch_size=32 | learning_r=0,001 | num_epochs=60 | dropout=0,5</t>
  </si>
  <si>
    <t>input-&gt;200-&gt;200-&gt;100-&gt;50-&gt;25-&gt;output | batch_size=32 | learning_r=0,001 | num_epochs=50 | dropout=0,5</t>
  </si>
  <si>
    <t>input-&gt;150-&gt;150-&gt;100-&gt;50-&gt;25-&gt;output | batch_size=24 | learning_r=0,001 | num_epochs=50 | dropout=0,5</t>
  </si>
  <si>
    <t>input-&gt;150-&gt;150-&gt;100-&gt;50-&gt;25-&gt;output | batch_size=24 | learning_r=0,001 | num_epochs=75 | dropout=0,5</t>
  </si>
  <si>
    <t>input-&gt;150-&gt;150-&gt;100-&gt;50-&gt;25-&gt;output | batch_size=32 | learning_r=0,001 | num_epochs=75 | dropout=0,5</t>
  </si>
  <si>
    <t>input-&gt;150-&gt;150-&gt;100-&gt;50-&gt;25-&gt;output | batch_size=32 | learning_r=0,001 | num_epochs=100 | dropout=0,5</t>
  </si>
  <si>
    <t>input-&gt;200-&gt;200-&gt;100-&gt;50-&gt;25-&gt;output | batch_size=32 | learning_r=0,001 | num_epochs=75 | dropout=0,5</t>
  </si>
  <si>
    <t>input-&gt;150-&gt;100-&gt;50-&gt;25-&gt;output | batch_size=48 | learning_r=0,001 | num_epochs=100 | dropout=0,5</t>
  </si>
  <si>
    <t>input-&gt;150-&gt;150-&gt;100-&gt;50-&gt;25-&gt;output | batch_size=32 | learning_r=0,001 | num_epochs=75 | dropout=[0,3,0,4,0,4,0,5,0,5]</t>
  </si>
  <si>
    <t>input-&gt;150-&gt;150-&gt;100-&gt;50-&gt;25-&gt;output | batch_size=32 | learning_r=0,001 | num_epochs=75 | dropout=0,5 | weight_decay = 0,0001</t>
  </si>
  <si>
    <t>input-&gt;150-&gt;150-&gt;100-&gt;50-&gt;25-&gt;output | batch_size=32 | num_epochs=75 | dropout=0,5 | base_lr = 0,0005 | max_lr = 0,001 | step_size = 5*len(train_loader)</t>
  </si>
  <si>
    <t>input-&gt;150-&gt;150-&gt;100-&gt;50-&gt;25-&gt;output | batch_size=32 | num_epochs=75 | dropout=0,5 | base_lr = 0,0001 | max_lr = 0,003 | step_size = 10*len(train_loader)</t>
  </si>
  <si>
    <t>input-&gt;150-&gt;150-&gt;100-&gt;50-&gt;25-&gt;output | batch_size=32 | num_epochs=75 | dropout=0,5 | base_lr = 0,0005 | max_lr = 0,005 | step_size = 5*len(train_loader) | mode='exp_range' | gamma == 0,99994</t>
  </si>
  <si>
    <t>input-&gt;150-&gt;150-&gt;100-&gt;50-&gt;25-&gt;output | batch_size=32 | num_epochs=100 | dropout=0,5 | base_lr = 0,0005 | max_lr = 0,005 | step_size = 5*len(train_loader) | mode='triangular2'</t>
  </si>
  <si>
    <t>yes (all by 1,0 of max)</t>
  </si>
  <si>
    <t>yes (min by 0,42 of max and other by 1,0 of max)</t>
  </si>
  <si>
    <t>yes (2 by 1,1 of max, 3 by 0,33 of max, 4 by 1,4 of max and 5 by 1,2 of max)</t>
  </si>
  <si>
    <t>input-&gt;150-&gt;150-&gt;100-&gt;50-&gt;25-&gt;output | batch_size=32 | learning_r=0,002 | num_epochs=100 | dropout=0,5</t>
  </si>
  <si>
    <t>yes (all by 1,0 of max) | SVMSMOTE</t>
  </si>
  <si>
    <t>input-&gt;200-&gt;100-&gt;50-&gt;25-&gt;output | batch_size=24 | learning_r=0,001 | num_epochs=75 | dropout=0,5</t>
  </si>
  <si>
    <t>input-&gt;150-&gt;100-&gt;50-&gt;25-&gt;output | batch_size=24 | learning_r=0,001 | num_epochs=75 | dropout=0,5</t>
  </si>
  <si>
    <t>input-&gt;200-&gt;100-&gt;50-&gt;25-&gt;output | batch_size=24 | learning_r=0,0008 | num_epochs=75 | dropout=0,5</t>
  </si>
  <si>
    <t>input-&gt;200-&gt;100-&gt;50-&gt;25-&gt;output | batch_size=24 | learning_r=0,0009 | num_epochs=75 | dropout=0,5</t>
  </si>
  <si>
    <t>input-&gt;75-&gt;75-&gt;50-&gt;output | batch_size=32 | learning_r=0,001 | num_epochs=75 | dropout=0,5</t>
  </si>
  <si>
    <t>input-&gt;150-&gt;150-&gt;100-&gt;50-&gt;output | batch_size=32 | learning_r=0,001 | num_epochs=75 | dropout=0,5</t>
  </si>
  <si>
    <t>input-&gt;200-&gt;400-&gt;200-&gt;1'00-&gt;50-&gt;25-&gt;output | batch_size=24 | learning_r=0,001 | num_epochs=125 | dropout=0,5</t>
  </si>
  <si>
    <t>input-&gt;200-&gt;400-&gt;200-&gt;1'00-&gt;50-&gt;25-&gt;output | batch_size=24 | learning_r=0,001 | num_epochs=110 | dropout=0,5</t>
  </si>
  <si>
    <t>input-&gt;200-&gt;400-&gt;200-&gt;1'00-&gt;50-&gt;25-&gt;output | batch_size=32 | learning_r=0,001 | num_epochs=150 | dropout=0,5</t>
  </si>
  <si>
    <t>input-&gt;150-&gt;150-&gt;100-&gt;50-&gt;25-&gt;output | batch_size=32 | learning_r=0,001 | num_epochs=94 | dropout=0,5</t>
  </si>
  <si>
    <t>input-&gt;150-&gt;150-&gt;100-&gt;50-&gt;25-&gt;output | batch_size=24 | learning_r=0,001 | num_epochs=70 | dropout=0,5</t>
  </si>
  <si>
    <t>input-&gt;150-&gt;150-&gt;100-&gt;50-&gt;25-&gt;output | batch_size=32 | learning_r=0,001 | num_epochs=75 | dropout=0,5 | random_seed = 12</t>
  </si>
  <si>
    <t>input-&gt;150-&gt;150-&gt;100-&gt;50-&gt;25-&gt;output | batch_size=32 | learning_r=0,001 | num_epochs=75 | dropout=0,5 | random_seed = 3</t>
  </si>
  <si>
    <t>input-&gt;150-&gt;150-&gt;100-&gt;50-&gt;25-&gt;output | batch_size=32 | learning_r=0,001 | num_epochs=75 | dropout=0,5 | random_seed = 19</t>
  </si>
  <si>
    <t>input-&gt;150-&gt;150-&gt;100-&gt;50-&gt;25-&gt;output | batch_size=32 | learning_r=0,001 | num_epochs=75 | dropout=0,5 | random_seed = 27</t>
  </si>
  <si>
    <t>input-&gt;150-&gt;150-&gt;100-&gt;50-&gt;25-&gt;output | batch_size=32 | learning_r=0,001 | num_epochs=75 | dropout=0,5 | random_seed = 29</t>
  </si>
  <si>
    <t>input-&gt;150-&gt;150-&gt;100-&gt;50-&gt;25-&gt;output | batch_size=32 | learning_r=0,001 | num_epochs=75 | dropout=0,5 | random_seed = 32</t>
  </si>
  <si>
    <t>input-&gt;150-&gt;150-&gt;100-&gt;50-&gt;25-&gt;output | batch_size=32 | learning_r=0,001 | num_epochs=75 | dropout=0,5 | random_seed = 36</t>
  </si>
  <si>
    <t>input-&gt;150-&gt;150-&gt;100-&gt;50-&gt;25-&gt;output | batch_size=32 | learning_r=0,001 | num_epochs=75 | dropout=0,5 | random_seed = 38</t>
  </si>
  <si>
    <t>input-&gt;150-&gt;150-&gt;100-&gt;50-&gt;25-&gt;output | batch_size=32 | learning_r=0,001 | num_epochs=75 | dropout=0,5 | random_seed = 57</t>
  </si>
  <si>
    <t>input-&gt;150-&gt;150-&gt;100-&gt;50-&gt;25-&gt;output | batch_size=32 | learning_r=0,001 | num_epochs=75 | dropout=0,5 | random_seed = 58</t>
  </si>
  <si>
    <t>input-&gt;150-&gt;150-&gt;100-&gt;50-&gt;25-&gt;output | batch_size=32 | learning_r=0,001 | num_epochs=75 | dropout=0,5 | random_seed = 83</t>
  </si>
  <si>
    <t>input-&gt;150-&gt;150-&gt;100-&gt;50-&gt;25-&gt;output | batch_size=32 | learning_r=0,001 | num_epochs=75 | dropout=0,5 | random_seed = 89</t>
  </si>
  <si>
    <t>input-&gt;150-&gt;150-&gt;100-&gt;50-&gt;25-&gt;output | batch_size=32 | learning_r=0,001 | num_epochs=75 | dropout=0,5 | random_seed = 91</t>
  </si>
  <si>
    <t>input-&gt;150-&gt;150-&gt;100-&gt;50-&gt;25-&gt;output | batch_size=32 | learning_r=0,001 | num_epochs=75 | dropout=0,5 | random_seed = 107</t>
  </si>
  <si>
    <t>input-&gt;150-&gt;150-&gt;100-&gt;50-&gt;25-&gt;output | batch_size=32 | learning_r=0,001 | num_epochs=75 | dropout=0,5 | random_seed = 110</t>
  </si>
  <si>
    <t>input-&gt;150-&gt;150-&gt;100-&gt;50-&gt;25-&gt;output | batch_size=32 | learning_r=0,001 | num_epochs=75 | dropout=0,5 | random_seed = 116</t>
  </si>
  <si>
    <t>input-&gt;150-&gt;150-&gt;100-&gt;50-&gt;25-&gt;output | batch_size=32 | learning_r=0,001 | num_epochs=75 | dropout=0,5 | random_seed = 120</t>
  </si>
  <si>
    <t>Average Local Score</t>
  </si>
  <si>
    <t>Average Public Dataset Score</t>
  </si>
  <si>
    <t>Average Private Dataset Score</t>
  </si>
  <si>
    <t>Average Difference Between Public and Private Dataset</t>
  </si>
  <si>
    <t>General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</si>
</sst>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2" borderId="0" xfId="0" applyFill="1"/>
    <xf numFmtId="0" fontId="2" fillId="9" borderId="1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left"/>
    </xf>
    <xf numFmtId="0" fontId="2" fillId="2" borderId="0" xfId="0" applyFont="1" applyFill="1"/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9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2" fillId="12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2" fillId="4" borderId="0" xfId="0" applyFont="1" applyFill="1"/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2" fillId="7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left"/>
    </xf>
    <xf numFmtId="0" fontId="2" fillId="9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left"/>
    </xf>
    <xf numFmtId="0" fontId="2" fillId="7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9" borderId="3" xfId="0" applyFont="1" applyFill="1" applyBorder="1" applyAlignment="1">
      <alignment horizontal="left"/>
    </xf>
    <xf numFmtId="0" fontId="2" fillId="9" borderId="5" xfId="0" applyFont="1" applyFill="1" applyBorder="1" applyAlignment="1">
      <alignment horizontal="left"/>
    </xf>
    <xf numFmtId="0" fontId="2" fillId="4" borderId="1" xfId="0" applyFont="1" applyFill="1" applyBorder="1"/>
    <xf numFmtId="0" fontId="2" fillId="12" borderId="4" xfId="0" applyFont="1" applyFill="1" applyBorder="1" applyAlignment="1">
      <alignment horizontal="center"/>
    </xf>
    <xf numFmtId="0" fontId="2" fillId="12" borderId="4" xfId="0" applyFont="1" applyFill="1" applyBorder="1"/>
    <xf numFmtId="0" fontId="2" fillId="3" borderId="5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left"/>
    </xf>
    <xf numFmtId="0" fontId="2" fillId="5" borderId="0" xfId="0" applyFont="1" applyFill="1"/>
    <xf numFmtId="0" fontId="2" fillId="6" borderId="0" xfId="0" applyFont="1" applyFill="1"/>
    <xf numFmtId="0" fontId="2" fillId="7" borderId="1" xfId="0" applyFont="1" applyFill="1" applyBorder="1"/>
    <xf numFmtId="0" fontId="2" fillId="8" borderId="0" xfId="0" applyFont="1" applyFill="1"/>
    <xf numFmtId="0" fontId="2" fillId="7" borderId="0" xfId="0" applyFont="1" applyFill="1"/>
    <xf numFmtId="0" fontId="2" fillId="8" borderId="2" xfId="0" applyFont="1" applyFill="1" applyBorder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9" borderId="1" xfId="0" applyFont="1" applyFill="1" applyBorder="1"/>
    <xf numFmtId="0" fontId="2" fillId="10" borderId="0" xfId="0" applyFont="1" applyFill="1"/>
    <xf numFmtId="0" fontId="2" fillId="9" borderId="0" xfId="0" applyFont="1" applyFill="1"/>
    <xf numFmtId="0" fontId="2" fillId="9" borderId="2" xfId="0" applyFont="1" applyFill="1" applyBorder="1"/>
    <xf numFmtId="0" fontId="2" fillId="5" borderId="4" xfId="0" applyFont="1" applyFill="1" applyBorder="1"/>
    <xf numFmtId="0" fontId="2" fillId="7" borderId="3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left"/>
    </xf>
    <xf numFmtId="0" fontId="2" fillId="7" borderId="3" xfId="0" applyFont="1" applyFill="1" applyBorder="1"/>
    <xf numFmtId="0" fontId="2" fillId="7" borderId="4" xfId="0" applyFont="1" applyFill="1" applyBorder="1"/>
    <xf numFmtId="0" fontId="2" fillId="7" borderId="5" xfId="0" applyFont="1" applyFill="1" applyBorder="1"/>
    <xf numFmtId="0" fontId="2" fillId="9" borderId="3" xfId="0" applyFont="1" applyFill="1" applyBorder="1"/>
    <xf numFmtId="0" fontId="2" fillId="9" borderId="4" xfId="0" applyFont="1" applyFill="1" applyBorder="1"/>
    <xf numFmtId="0" fontId="2" fillId="9" borderId="5" xfId="0" applyFont="1" applyFill="1" applyBorder="1"/>
    <xf numFmtId="0" fontId="2" fillId="12" borderId="3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left"/>
    </xf>
    <xf numFmtId="0" fontId="2" fillId="12" borderId="5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left"/>
    </xf>
    <xf numFmtId="0" fontId="2" fillId="12" borderId="5" xfId="0" applyFont="1" applyFill="1" applyBorder="1" applyAlignment="1">
      <alignment horizontal="left"/>
    </xf>
    <xf numFmtId="2" fontId="2" fillId="2" borderId="0" xfId="0" applyNumberFormat="1" applyFont="1" applyFill="1"/>
    <xf numFmtId="2" fontId="2" fillId="4" borderId="0" xfId="0" applyNumberFormat="1" applyFont="1" applyFill="1" applyAlignment="1">
      <alignment horizontal="left"/>
    </xf>
    <xf numFmtId="2" fontId="2" fillId="3" borderId="0" xfId="0" applyNumberFormat="1" applyFont="1" applyFill="1" applyAlignment="1">
      <alignment horizontal="left"/>
    </xf>
    <xf numFmtId="2" fontId="2" fillId="5" borderId="1" xfId="0" applyNumberFormat="1" applyFont="1" applyFill="1" applyBorder="1" applyAlignment="1">
      <alignment horizontal="left"/>
    </xf>
    <xf numFmtId="2" fontId="2" fillId="6" borderId="0" xfId="0" applyNumberFormat="1" applyFont="1" applyFill="1" applyAlignment="1">
      <alignment horizontal="left"/>
    </xf>
    <xf numFmtId="2" fontId="2" fillId="5" borderId="0" xfId="0" applyNumberFormat="1" applyFont="1" applyFill="1" applyAlignment="1">
      <alignment horizontal="left"/>
    </xf>
    <xf numFmtId="2" fontId="2" fillId="12" borderId="0" xfId="0" applyNumberFormat="1" applyFont="1" applyFill="1" applyAlignment="1">
      <alignment horizontal="left"/>
    </xf>
    <xf numFmtId="2" fontId="2" fillId="11" borderId="0" xfId="0" applyNumberFormat="1" applyFont="1" applyFill="1" applyAlignment="1">
      <alignment horizontal="left"/>
    </xf>
    <xf numFmtId="2" fontId="2" fillId="5" borderId="0" xfId="0" applyNumberFormat="1" applyFont="1" applyFill="1"/>
    <xf numFmtId="164" fontId="2" fillId="2" borderId="7" xfId="0" applyNumberFormat="1" applyFont="1" applyFill="1" applyBorder="1"/>
    <xf numFmtId="164" fontId="2" fillId="2" borderId="8" xfId="0" applyNumberFormat="1" applyFont="1" applyFill="1" applyBorder="1"/>
    <xf numFmtId="164" fontId="2" fillId="2" borderId="6" xfId="0" applyNumberFormat="1" applyFont="1" applyFill="1" applyBorder="1"/>
    <xf numFmtId="0" fontId="3" fillId="2" borderId="6" xfId="0" applyFont="1" applyFill="1" applyBorder="1"/>
    <xf numFmtId="0" fontId="3" fillId="2" borderId="9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3" fillId="2" borderId="12" xfId="0" applyFont="1" applyFill="1" applyBorder="1"/>
    <xf numFmtId="164" fontId="2" fillId="2" borderId="12" xfId="0" applyNumberFormat="1" applyFont="1" applyFill="1" applyBorder="1"/>
    <xf numFmtId="164" fontId="2" fillId="2" borderId="13" xfId="0" applyNumberFormat="1" applyFont="1" applyFill="1" applyBorder="1"/>
    <xf numFmtId="164" fontId="2" fillId="2" borderId="14" xfId="0" applyNumberFormat="1" applyFont="1" applyFill="1" applyBorder="1"/>
    <xf numFmtId="2" fontId="2" fillId="4" borderId="1" xfId="0" applyNumberFormat="1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2" fillId="3" borderId="4" xfId="0" applyFont="1" applyFill="1" applyBorder="1"/>
    <xf numFmtId="0" fontId="2" fillId="3" borderId="2" xfId="0" applyFont="1" applyFill="1" applyBorder="1"/>
    <xf numFmtId="0" fontId="2" fillId="3" borderId="5" xfId="0" applyFont="1" applyFill="1" applyBorder="1"/>
    <xf numFmtId="164" fontId="2" fillId="4" borderId="0" xfId="0" applyNumberFormat="1" applyFont="1" applyFill="1"/>
    <xf numFmtId="164" fontId="2" fillId="3" borderId="0" xfId="0" applyNumberFormat="1" applyFont="1" applyFill="1"/>
    <xf numFmtId="164" fontId="2" fillId="3" borderId="2" xfId="0" applyNumberFormat="1" applyFont="1" applyFill="1" applyBorder="1"/>
    <xf numFmtId="164" fontId="2" fillId="5" borderId="1" xfId="0" applyNumberFormat="1" applyFont="1" applyFill="1" applyBorder="1"/>
    <xf numFmtId="164" fontId="2" fillId="6" borderId="0" xfId="0" applyNumberFormat="1" applyFont="1" applyFill="1"/>
    <xf numFmtId="164" fontId="2" fillId="5" borderId="0" xfId="0" applyNumberFormat="1" applyFont="1" applyFill="1"/>
    <xf numFmtId="164" fontId="2" fillId="5" borderId="2" xfId="0" applyNumberFormat="1" applyFont="1" applyFill="1" applyBorder="1"/>
    <xf numFmtId="164" fontId="2" fillId="7" borderId="0" xfId="0" applyNumberFormat="1" applyFont="1" applyFill="1"/>
    <xf numFmtId="164" fontId="2" fillId="8" borderId="0" xfId="0" applyNumberFormat="1" applyFont="1" applyFill="1"/>
    <xf numFmtId="164" fontId="2" fillId="9" borderId="1" xfId="0" applyNumberFormat="1" applyFont="1" applyFill="1" applyBorder="1"/>
    <xf numFmtId="164" fontId="2" fillId="10" borderId="0" xfId="0" applyNumberFormat="1" applyFont="1" applyFill="1"/>
    <xf numFmtId="164" fontId="2" fillId="9" borderId="0" xfId="0" applyNumberFormat="1" applyFont="1" applyFill="1"/>
    <xf numFmtId="164" fontId="2" fillId="10" borderId="2" xfId="0" applyNumberFormat="1" applyFont="1" applyFill="1" applyBorder="1"/>
    <xf numFmtId="164" fontId="2" fillId="12" borderId="0" xfId="0" applyNumberFormat="1" applyFont="1" applyFill="1"/>
    <xf numFmtId="164" fontId="2" fillId="11" borderId="0" xfId="0" applyNumberFormat="1" applyFont="1" applyFill="1"/>
    <xf numFmtId="164" fontId="2" fillId="4" borderId="1" xfId="0" applyNumberFormat="1" applyFont="1" applyFill="1" applyBorder="1"/>
    <xf numFmtId="164" fontId="2" fillId="7" borderId="1" xfId="0" applyNumberFormat="1" applyFont="1" applyFill="1" applyBorder="1"/>
    <xf numFmtId="164" fontId="2" fillId="8" borderId="2" xfId="0" applyNumberFormat="1" applyFont="1" applyFill="1" applyBorder="1"/>
    <xf numFmtId="164" fontId="2" fillId="9" borderId="2" xfId="0" applyNumberFormat="1" applyFont="1" applyFill="1" applyBorder="1"/>
    <xf numFmtId="164" fontId="2" fillId="12" borderId="1" xfId="0" applyNumberFormat="1" applyFont="1" applyFill="1" applyBorder="1"/>
    <xf numFmtId="164" fontId="2" fillId="12" borderId="2" xfId="0" applyNumberFormat="1" applyFont="1" applyFill="1" applyBorder="1"/>
  </cellXfs>
  <cellStyles count="1">
    <cellStyle name="Normal" xfId="0" builtinId="0"/>
  </cellStyles>
  <dxfs count="8"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</dxfs>
  <tableStyles count="0" defaultTableStyle="TableStyleMedium2" defaultPivotStyle="PivotStyleLight16"/>
  <colors>
    <mruColors>
      <color rgb="FFFFFF66"/>
      <color rgb="FFFFFFCC"/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C9FC-EB6B-479C-BF14-C6E15D6246F0}">
  <sheetPr codeName="Sheet1"/>
  <dimension ref="A1:HK361"/>
  <sheetViews>
    <sheetView tabSelected="1" topLeftCell="S92" zoomScale="72" zoomScaleNormal="85" workbookViewId="0">
      <selection activeCell="T127" sqref="T127"/>
    </sheetView>
  </sheetViews>
  <sheetFormatPr defaultRowHeight="14.5" x14ac:dyDescent="0.35"/>
  <cols>
    <col min="3" max="3" width="26.1796875" customWidth="1"/>
    <col min="5" max="5" width="18.26953125" customWidth="1"/>
    <col min="6" max="6" width="35.54296875" customWidth="1"/>
    <col min="7" max="7" width="42.453125" customWidth="1"/>
    <col min="8" max="8" width="11.54296875" customWidth="1"/>
    <col min="9" max="9" width="23.54296875" customWidth="1"/>
    <col min="10" max="10" width="21.26953125" customWidth="1"/>
    <col min="11" max="11" width="17.26953125" bestFit="1" customWidth="1"/>
    <col min="12" max="12" width="18.1796875" customWidth="1"/>
    <col min="13" max="13" width="14.54296875" customWidth="1"/>
    <col min="14" max="14" width="60.7265625" bestFit="1" customWidth="1"/>
    <col min="15" max="15" width="15.81640625" customWidth="1"/>
    <col min="16" max="16" width="71.26953125" bestFit="1" customWidth="1"/>
    <col min="17" max="17" width="19.1796875" customWidth="1"/>
    <col min="18" max="18" width="175.453125" bestFit="1" customWidth="1"/>
    <col min="19" max="19" width="9.453125" customWidth="1"/>
    <col min="20" max="20" width="13.54296875" bestFit="1" customWidth="1"/>
    <col min="21" max="21" width="13.6328125" bestFit="1" customWidth="1"/>
    <col min="22" max="22" width="57" bestFit="1" customWidth="1"/>
    <col min="24" max="24" width="15.26953125" bestFit="1" customWidth="1"/>
    <col min="25" max="25" width="17.81640625" bestFit="1" customWidth="1"/>
    <col min="26" max="27" width="25.54296875" bestFit="1" customWidth="1"/>
    <col min="28" max="28" width="46.26953125" bestFit="1" customWidth="1"/>
  </cols>
  <sheetData>
    <row r="1" spans="1:2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</row>
    <row r="2" spans="1:219" x14ac:dyDescent="0.35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</row>
    <row r="3" spans="1:219" x14ac:dyDescent="0.3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</row>
    <row r="4" spans="1:219" x14ac:dyDescent="0.3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</row>
    <row r="5" spans="1:219" x14ac:dyDescent="0.3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4" t="s">
        <v>380</v>
      </c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</row>
    <row r="6" spans="1:219" ht="15" thickBot="1" x14ac:dyDescent="0.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</row>
    <row r="7" spans="1:219" ht="15" thickBot="1" x14ac:dyDescent="0.4">
      <c r="A7" s="9"/>
      <c r="B7" s="10"/>
      <c r="C7" s="22" t="s">
        <v>3</v>
      </c>
      <c r="D7" s="5"/>
      <c r="E7" s="5" t="s">
        <v>6</v>
      </c>
      <c r="F7" s="5" t="s">
        <v>2</v>
      </c>
      <c r="G7" s="5" t="s">
        <v>2</v>
      </c>
      <c r="H7" s="5" t="s">
        <v>12</v>
      </c>
      <c r="I7" s="5" t="s">
        <v>15</v>
      </c>
      <c r="J7" s="5" t="s">
        <v>15</v>
      </c>
      <c r="K7" s="5" t="s">
        <v>18</v>
      </c>
      <c r="L7" s="5" t="s">
        <v>21</v>
      </c>
      <c r="M7" s="5"/>
      <c r="N7" s="5"/>
      <c r="O7" s="5" t="s">
        <v>25</v>
      </c>
      <c r="P7" s="5" t="s">
        <v>27</v>
      </c>
      <c r="Q7" s="5"/>
      <c r="R7" s="5"/>
      <c r="S7" s="98"/>
      <c r="T7" s="98"/>
      <c r="U7" s="99"/>
      <c r="V7" s="22"/>
      <c r="W7" s="10"/>
      <c r="X7" s="88" t="s">
        <v>0</v>
      </c>
      <c r="Y7" s="92" t="s">
        <v>376</v>
      </c>
      <c r="Z7" s="92" t="s">
        <v>377</v>
      </c>
      <c r="AA7" s="92" t="s">
        <v>378</v>
      </c>
      <c r="AB7" s="87" t="s">
        <v>379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</row>
    <row r="8" spans="1:219" x14ac:dyDescent="0.35">
      <c r="A8" s="9"/>
      <c r="B8" s="10"/>
      <c r="C8" s="23" t="s">
        <v>4</v>
      </c>
      <c r="D8" s="11" t="s">
        <v>1</v>
      </c>
      <c r="E8" s="11" t="s">
        <v>7</v>
      </c>
      <c r="F8" s="11" t="s">
        <v>9</v>
      </c>
      <c r="G8" s="11" t="s">
        <v>11</v>
      </c>
      <c r="H8" s="11" t="s">
        <v>13</v>
      </c>
      <c r="I8" s="11" t="s">
        <v>16</v>
      </c>
      <c r="J8" s="11" t="s">
        <v>16</v>
      </c>
      <c r="K8" s="11" t="s">
        <v>19</v>
      </c>
      <c r="L8" s="11" t="s">
        <v>22</v>
      </c>
      <c r="M8" s="11" t="s">
        <v>23</v>
      </c>
      <c r="N8" s="11" t="s">
        <v>24</v>
      </c>
      <c r="O8" s="11" t="s">
        <v>26</v>
      </c>
      <c r="P8" s="11" t="s">
        <v>28</v>
      </c>
      <c r="Q8" s="11" t="s">
        <v>0</v>
      </c>
      <c r="R8" s="11" t="s">
        <v>29</v>
      </c>
      <c r="S8" s="100" t="s">
        <v>30</v>
      </c>
      <c r="T8" s="100" t="s">
        <v>266</v>
      </c>
      <c r="U8" s="101" t="s">
        <v>267</v>
      </c>
      <c r="V8" s="23" t="s">
        <v>31</v>
      </c>
      <c r="W8" s="10"/>
      <c r="X8" s="89" t="s">
        <v>89</v>
      </c>
      <c r="Y8" s="93">
        <f>AVERAGEIF(Q10:Q169, "RF", S10:S169)</f>
        <v>0.374</v>
      </c>
      <c r="Z8" s="93">
        <f>AVERAGEIF(Q10:Q169, "RF", T10:T169)</f>
        <v>0.31271428571428572</v>
      </c>
      <c r="AA8" s="93">
        <f>AVERAGEIF(Q10:Q169, "RF", U10:U169)</f>
        <v>0.33757142857142858</v>
      </c>
      <c r="AB8" s="86">
        <f>ABS(Z8-AA8)</f>
        <v>2.4857142857142855E-2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</row>
    <row r="9" spans="1:219" ht="15" thickBot="1" x14ac:dyDescent="0.4">
      <c r="A9" s="9"/>
      <c r="B9" s="10"/>
      <c r="C9" s="42" t="s">
        <v>5</v>
      </c>
      <c r="D9" s="6"/>
      <c r="E9" s="6" t="s">
        <v>8</v>
      </c>
      <c r="F9" s="6" t="s">
        <v>10</v>
      </c>
      <c r="G9" s="6" t="s">
        <v>10</v>
      </c>
      <c r="H9" s="6" t="s">
        <v>14</v>
      </c>
      <c r="I9" s="6" t="s">
        <v>93</v>
      </c>
      <c r="J9" s="6" t="s">
        <v>17</v>
      </c>
      <c r="K9" s="6" t="s">
        <v>20</v>
      </c>
      <c r="L9" s="6"/>
      <c r="M9" s="6"/>
      <c r="N9" s="6"/>
      <c r="O9" s="6"/>
      <c r="P9" s="6"/>
      <c r="Q9" s="6"/>
      <c r="R9" s="6"/>
      <c r="S9" s="102"/>
      <c r="T9" s="102"/>
      <c r="U9" s="103"/>
      <c r="V9" s="42"/>
      <c r="W9" s="10"/>
      <c r="X9" s="90" t="s">
        <v>107</v>
      </c>
      <c r="Y9" s="94">
        <f>AVERAGEIF(Q10:Q169, "SVM", S10:S169)</f>
        <v>0.44014285714285711</v>
      </c>
      <c r="Z9" s="94">
        <f>AVERAGEIF(Q10:Q169, "SVM", T10:T169)</f>
        <v>0.32371428571428579</v>
      </c>
      <c r="AA9" s="94">
        <f>AVERAGEIF(Q10:Q169, "SVM", U10:U169)</f>
        <v>0.31707142857142856</v>
      </c>
      <c r="AB9" s="84">
        <f t="shared" ref="AB9:AB15" si="0">ABS(Z9-AA9)</f>
        <v>6.6428571428572281E-3</v>
      </c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</row>
    <row r="10" spans="1:219" x14ac:dyDescent="0.35">
      <c r="A10" s="9"/>
      <c r="B10" s="10"/>
      <c r="C10" s="24"/>
      <c r="D10" s="12" t="s">
        <v>32</v>
      </c>
      <c r="E10" s="12" t="s">
        <v>88</v>
      </c>
      <c r="F10" s="12" t="s">
        <v>88</v>
      </c>
      <c r="G10" s="12" t="s">
        <v>88</v>
      </c>
      <c r="H10" s="12" t="s">
        <v>88</v>
      </c>
      <c r="I10" s="12" t="s">
        <v>88</v>
      </c>
      <c r="J10" s="12" t="s">
        <v>88</v>
      </c>
      <c r="K10" s="12" t="s">
        <v>88</v>
      </c>
      <c r="L10" s="12" t="s">
        <v>88</v>
      </c>
      <c r="M10" s="12" t="s">
        <v>88</v>
      </c>
      <c r="N10" s="12" t="s">
        <v>88</v>
      </c>
      <c r="O10" s="12" t="s">
        <v>88</v>
      </c>
      <c r="P10" s="12" t="s">
        <v>88</v>
      </c>
      <c r="Q10" s="12" t="s">
        <v>89</v>
      </c>
      <c r="R10" s="12" t="s">
        <v>92</v>
      </c>
      <c r="S10" s="104">
        <v>0.34100000000000003</v>
      </c>
      <c r="T10" s="104" t="s">
        <v>92</v>
      </c>
      <c r="U10" s="104" t="s">
        <v>92</v>
      </c>
      <c r="V10" s="24"/>
      <c r="W10" s="10"/>
      <c r="X10" s="90" t="s">
        <v>90</v>
      </c>
      <c r="Y10" s="94">
        <f>AVERAGEIF(Q10:Q169, "XGB", S10:S169)</f>
        <v>0.3950588235294118</v>
      </c>
      <c r="Z10" s="94">
        <f>AVERAGEIF(Q10:Q169, "XGB", T10:T169)</f>
        <v>0.34071428571428569</v>
      </c>
      <c r="AA10" s="94">
        <f>AVERAGEIF(Q10:Q169, "XGB", U10:U169)</f>
        <v>0.31657142857142856</v>
      </c>
      <c r="AB10" s="84">
        <f t="shared" si="0"/>
        <v>2.4142857142857133E-2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</row>
    <row r="11" spans="1:219" x14ac:dyDescent="0.35">
      <c r="A11" s="9"/>
      <c r="B11" s="10"/>
      <c r="C11" s="24"/>
      <c r="D11" s="11" t="s">
        <v>33</v>
      </c>
      <c r="E11" s="11" t="s">
        <v>88</v>
      </c>
      <c r="F11" s="11" t="s">
        <v>88</v>
      </c>
      <c r="G11" s="11" t="s">
        <v>88</v>
      </c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88</v>
      </c>
      <c r="N11" s="11" t="s">
        <v>88</v>
      </c>
      <c r="O11" s="11" t="s">
        <v>88</v>
      </c>
      <c r="P11" s="11" t="s">
        <v>88</v>
      </c>
      <c r="Q11" s="11" t="s">
        <v>90</v>
      </c>
      <c r="R11" s="11" t="s">
        <v>92</v>
      </c>
      <c r="S11" s="105">
        <v>0.35899999999999999</v>
      </c>
      <c r="T11" s="105" t="s">
        <v>92</v>
      </c>
      <c r="U11" s="105"/>
      <c r="V11" s="30" t="s">
        <v>100</v>
      </c>
      <c r="W11" s="10"/>
      <c r="X11" s="90" t="s">
        <v>108</v>
      </c>
      <c r="Y11" s="94">
        <f>AVERAGEIF(Q10:Q169, "LogReg", S10:S169)</f>
        <v>0.38474999999999998</v>
      </c>
      <c r="Z11" s="94">
        <f>AVERAGEIF(Q10:Q169, "LogReg", T10:T169)</f>
        <v>0.33350000000000002</v>
      </c>
      <c r="AA11" s="94">
        <f>AVERAGEIF(Q10:Q169, "LogReg", U10:U169)</f>
        <v>0.313</v>
      </c>
      <c r="AB11" s="84">
        <f t="shared" si="0"/>
        <v>2.0500000000000018E-2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</row>
    <row r="12" spans="1:219" x14ac:dyDescent="0.35">
      <c r="A12" s="9"/>
      <c r="B12" s="10"/>
      <c r="C12" s="24" t="s">
        <v>97</v>
      </c>
      <c r="D12" s="12" t="s">
        <v>34</v>
      </c>
      <c r="E12" s="12" t="s">
        <v>88</v>
      </c>
      <c r="F12" s="12" t="s">
        <v>88</v>
      </c>
      <c r="G12" s="12" t="s">
        <v>88</v>
      </c>
      <c r="H12" s="12" t="s">
        <v>88</v>
      </c>
      <c r="I12" s="12" t="s">
        <v>269</v>
      </c>
      <c r="J12" s="12" t="s">
        <v>88</v>
      </c>
      <c r="K12" s="12" t="s">
        <v>88</v>
      </c>
      <c r="L12" s="12" t="s">
        <v>88</v>
      </c>
      <c r="M12" s="12" t="s">
        <v>88</v>
      </c>
      <c r="N12" s="12" t="s">
        <v>88</v>
      </c>
      <c r="O12" s="12" t="s">
        <v>88</v>
      </c>
      <c r="P12" s="12" t="s">
        <v>88</v>
      </c>
      <c r="Q12" s="12" t="s">
        <v>89</v>
      </c>
      <c r="R12" s="12" t="s">
        <v>92</v>
      </c>
      <c r="S12" s="104">
        <v>0.35199999999999998</v>
      </c>
      <c r="T12" s="104" t="s">
        <v>92</v>
      </c>
      <c r="U12" s="104"/>
      <c r="V12" s="30" t="s">
        <v>101</v>
      </c>
      <c r="W12" s="10"/>
      <c r="X12" s="90" t="s">
        <v>109</v>
      </c>
      <c r="Y12" s="94">
        <f>AVERAGEIF(Q10:Q169, "LGBM", S10:S169)</f>
        <v>0.45633333333333331</v>
      </c>
      <c r="Z12" s="94">
        <f>AVERAGEIF(Q10:Q169, "LGBM", T10:T169)</f>
        <v>0.28099999999999997</v>
      </c>
      <c r="AA12" s="94">
        <f>AVERAGEIF(Q10:Q169, "LGBM", U10:U169)</f>
        <v>0.31066666666666665</v>
      </c>
      <c r="AB12" s="84">
        <f t="shared" si="0"/>
        <v>2.9666666666666675E-2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</row>
    <row r="13" spans="1:219" x14ac:dyDescent="0.35">
      <c r="A13" s="9"/>
      <c r="B13" s="10"/>
      <c r="C13" s="24"/>
      <c r="D13" s="11" t="s">
        <v>35</v>
      </c>
      <c r="E13" s="11" t="s">
        <v>88</v>
      </c>
      <c r="F13" s="11" t="s">
        <v>88</v>
      </c>
      <c r="G13" s="11" t="s">
        <v>88</v>
      </c>
      <c r="H13" s="11" t="s">
        <v>88</v>
      </c>
      <c r="I13" s="11" t="s">
        <v>269</v>
      </c>
      <c r="J13" s="11" t="s">
        <v>88</v>
      </c>
      <c r="K13" s="11" t="s">
        <v>88</v>
      </c>
      <c r="L13" s="11" t="s">
        <v>88</v>
      </c>
      <c r="M13" s="11" t="s">
        <v>88</v>
      </c>
      <c r="N13" s="11" t="s">
        <v>88</v>
      </c>
      <c r="O13" s="11" t="s">
        <v>88</v>
      </c>
      <c r="P13" s="11" t="s">
        <v>88</v>
      </c>
      <c r="Q13" s="11" t="s">
        <v>90</v>
      </c>
      <c r="R13" s="11" t="s">
        <v>92</v>
      </c>
      <c r="S13" s="105">
        <v>0.314</v>
      </c>
      <c r="T13" s="105" t="s">
        <v>92</v>
      </c>
      <c r="U13" s="105"/>
      <c r="V13" s="30" t="s">
        <v>102</v>
      </c>
      <c r="W13" s="10"/>
      <c r="X13" s="90" t="s">
        <v>91</v>
      </c>
      <c r="Y13" s="94">
        <f>AVERAGEIF(Q10:Q169, "stacking", S10:S169)</f>
        <v>0.44</v>
      </c>
      <c r="Z13" s="94">
        <f>AVERAGEIF(Q10:Q169, "stacking", T10:T169)</f>
        <v>0.28025000000000005</v>
      </c>
      <c r="AA13" s="94">
        <f>AVERAGEIF(Q10:Q169, "stacking", U10:U169)</f>
        <v>0.27400000000000002</v>
      </c>
      <c r="AB13" s="84">
        <f t="shared" si="0"/>
        <v>6.2500000000000333E-3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</row>
    <row r="14" spans="1:219" x14ac:dyDescent="0.35">
      <c r="A14" s="9"/>
      <c r="B14" s="10"/>
      <c r="C14" s="24" t="s">
        <v>98</v>
      </c>
      <c r="D14" s="12" t="s">
        <v>36</v>
      </c>
      <c r="E14" s="12" t="s">
        <v>88</v>
      </c>
      <c r="F14" s="12" t="s">
        <v>88</v>
      </c>
      <c r="G14" s="12" t="s">
        <v>88</v>
      </c>
      <c r="H14" s="12" t="s">
        <v>88</v>
      </c>
      <c r="I14" s="12" t="s">
        <v>270</v>
      </c>
      <c r="J14" s="12" t="s">
        <v>88</v>
      </c>
      <c r="K14" s="12" t="s">
        <v>88</v>
      </c>
      <c r="L14" s="12" t="s">
        <v>88</v>
      </c>
      <c r="M14" s="12" t="s">
        <v>88</v>
      </c>
      <c r="N14" s="12" t="s">
        <v>88</v>
      </c>
      <c r="O14" s="12" t="s">
        <v>88</v>
      </c>
      <c r="P14" s="12" t="s">
        <v>88</v>
      </c>
      <c r="Q14" s="12" t="s">
        <v>89</v>
      </c>
      <c r="R14" s="12" t="s">
        <v>92</v>
      </c>
      <c r="S14" s="104">
        <v>0.34200000000000003</v>
      </c>
      <c r="T14" s="104" t="s">
        <v>92</v>
      </c>
      <c r="U14" s="104"/>
      <c r="V14" s="30"/>
      <c r="W14" s="10"/>
      <c r="X14" s="90" t="s">
        <v>110</v>
      </c>
      <c r="Y14" s="94">
        <f>AVERAGEIF(Q10:Q169, "voting", S10:S169)</f>
        <v>0.47228571428571431</v>
      </c>
      <c r="Z14" s="94">
        <f>AVERAGEIF(Q10:Q169, "voting", T10:T169)</f>
        <v>0.29433333333333334</v>
      </c>
      <c r="AA14" s="94">
        <f>AVERAGEIF(Q10:Q169, "voting", U10:U169)</f>
        <v>0.34183333333333338</v>
      </c>
      <c r="AB14" s="84">
        <f t="shared" si="0"/>
        <v>4.7500000000000042E-2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</row>
    <row r="15" spans="1:219" ht="15" thickBot="1" x14ac:dyDescent="0.4">
      <c r="A15" s="9"/>
      <c r="B15" s="10"/>
      <c r="C15" s="24" t="s">
        <v>99</v>
      </c>
      <c r="D15" s="11" t="s">
        <v>37</v>
      </c>
      <c r="E15" s="11" t="s">
        <v>88</v>
      </c>
      <c r="F15" s="11" t="s">
        <v>88</v>
      </c>
      <c r="G15" s="11" t="s">
        <v>88</v>
      </c>
      <c r="H15" s="11" t="s">
        <v>88</v>
      </c>
      <c r="I15" s="11" t="s">
        <v>270</v>
      </c>
      <c r="J15" s="11" t="s">
        <v>88</v>
      </c>
      <c r="K15" s="11" t="s">
        <v>88</v>
      </c>
      <c r="L15" s="11" t="s">
        <v>88</v>
      </c>
      <c r="M15" s="11" t="s">
        <v>88</v>
      </c>
      <c r="N15" s="11" t="s">
        <v>88</v>
      </c>
      <c r="O15" s="11" t="s">
        <v>88</v>
      </c>
      <c r="P15" s="11" t="s">
        <v>88</v>
      </c>
      <c r="Q15" s="11" t="s">
        <v>90</v>
      </c>
      <c r="R15" s="11" t="s">
        <v>92</v>
      </c>
      <c r="S15" s="105">
        <v>0.32900000000000001</v>
      </c>
      <c r="T15" s="105" t="s">
        <v>92</v>
      </c>
      <c r="U15" s="105"/>
      <c r="V15" s="30"/>
      <c r="W15" s="10"/>
      <c r="X15" s="91" t="s">
        <v>127</v>
      </c>
      <c r="Y15" s="95">
        <f>AVERAGEIF(Q10:Q169, "ANN", S10:S169)</f>
        <v>0.45497701149425313</v>
      </c>
      <c r="Z15" s="95">
        <f>AVERAGEIF(Q10:Q169, "ANN", T10:T169)</f>
        <v>0.35788505747126442</v>
      </c>
      <c r="AA15" s="95">
        <f>AVERAGEIF(Q10:Q169, "ANN", U10:U169)</f>
        <v>0.31987356321839083</v>
      </c>
      <c r="AB15" s="85">
        <f t="shared" si="0"/>
        <v>3.801149425287359E-2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</row>
    <row r="16" spans="1:219" x14ac:dyDescent="0.35">
      <c r="A16" s="9"/>
      <c r="B16" s="10"/>
      <c r="C16" s="24"/>
      <c r="D16" s="12" t="s">
        <v>38</v>
      </c>
      <c r="E16" s="12" t="s">
        <v>88</v>
      </c>
      <c r="F16" s="12" t="s">
        <v>88</v>
      </c>
      <c r="G16" s="12" t="s">
        <v>88</v>
      </c>
      <c r="H16" s="12" t="s">
        <v>88</v>
      </c>
      <c r="I16" s="12" t="s">
        <v>88</v>
      </c>
      <c r="J16" s="12" t="s">
        <v>88</v>
      </c>
      <c r="K16" s="12" t="s">
        <v>271</v>
      </c>
      <c r="L16" s="12" t="s">
        <v>88</v>
      </c>
      <c r="M16" s="12" t="s">
        <v>88</v>
      </c>
      <c r="N16" s="12" t="s">
        <v>88</v>
      </c>
      <c r="O16" s="12" t="s">
        <v>88</v>
      </c>
      <c r="P16" s="12" t="s">
        <v>88</v>
      </c>
      <c r="Q16" s="12" t="s">
        <v>89</v>
      </c>
      <c r="R16" s="12" t="s">
        <v>92</v>
      </c>
      <c r="S16" s="104">
        <v>0.33700000000000002</v>
      </c>
      <c r="T16" s="104" t="s">
        <v>92</v>
      </c>
      <c r="U16" s="104"/>
      <c r="V16" s="30"/>
      <c r="W16" s="10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</row>
    <row r="17" spans="1:219" x14ac:dyDescent="0.35">
      <c r="A17" s="9"/>
      <c r="B17" s="10"/>
      <c r="C17" s="24"/>
      <c r="D17" s="11" t="s">
        <v>39</v>
      </c>
      <c r="E17" s="11" t="s">
        <v>88</v>
      </c>
      <c r="F17" s="11" t="s">
        <v>88</v>
      </c>
      <c r="G17" s="11" t="s">
        <v>88</v>
      </c>
      <c r="H17" s="11" t="s">
        <v>88</v>
      </c>
      <c r="I17" s="11" t="s">
        <v>88</v>
      </c>
      <c r="J17" s="11" t="s">
        <v>88</v>
      </c>
      <c r="K17" s="11" t="s">
        <v>271</v>
      </c>
      <c r="L17" s="11" t="s">
        <v>88</v>
      </c>
      <c r="M17" s="11" t="s">
        <v>88</v>
      </c>
      <c r="N17" s="11" t="s">
        <v>88</v>
      </c>
      <c r="O17" s="11" t="s">
        <v>88</v>
      </c>
      <c r="P17" s="11" t="s">
        <v>88</v>
      </c>
      <c r="Q17" s="11" t="s">
        <v>90</v>
      </c>
      <c r="R17" s="11" t="s">
        <v>92</v>
      </c>
      <c r="S17" s="105">
        <v>0.32400000000000001</v>
      </c>
      <c r="T17" s="105" t="s">
        <v>92</v>
      </c>
      <c r="U17" s="105"/>
      <c r="V17" s="24"/>
      <c r="W17" s="10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</row>
    <row r="18" spans="1:219" x14ac:dyDescent="0.35">
      <c r="A18" s="9"/>
      <c r="B18" s="10"/>
      <c r="C18" s="24"/>
      <c r="D18" s="12" t="s">
        <v>40</v>
      </c>
      <c r="E18" s="12" t="s">
        <v>88</v>
      </c>
      <c r="F18" s="12" t="s">
        <v>88</v>
      </c>
      <c r="G18" s="12" t="s">
        <v>88</v>
      </c>
      <c r="H18" s="12" t="s">
        <v>88</v>
      </c>
      <c r="I18" s="12" t="s">
        <v>88</v>
      </c>
      <c r="J18" s="12" t="s">
        <v>88</v>
      </c>
      <c r="K18" s="12" t="s">
        <v>272</v>
      </c>
      <c r="L18" s="12" t="s">
        <v>88</v>
      </c>
      <c r="M18" s="12" t="s">
        <v>88</v>
      </c>
      <c r="N18" s="12" t="s">
        <v>88</v>
      </c>
      <c r="O18" s="12" t="s">
        <v>88</v>
      </c>
      <c r="P18" s="12" t="s">
        <v>88</v>
      </c>
      <c r="Q18" s="12" t="s">
        <v>89</v>
      </c>
      <c r="R18" s="12" t="s">
        <v>92</v>
      </c>
      <c r="S18" s="104">
        <v>0.312</v>
      </c>
      <c r="T18" s="104" t="s">
        <v>92</v>
      </c>
      <c r="U18" s="104"/>
      <c r="V18" s="24"/>
      <c r="W18" s="10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</row>
    <row r="19" spans="1:219" x14ac:dyDescent="0.35">
      <c r="A19" s="9"/>
      <c r="B19" s="10"/>
      <c r="C19" s="24"/>
      <c r="D19" s="11" t="s">
        <v>41</v>
      </c>
      <c r="E19" s="11" t="s">
        <v>88</v>
      </c>
      <c r="F19" s="11" t="s">
        <v>88</v>
      </c>
      <c r="G19" s="11" t="s">
        <v>88</v>
      </c>
      <c r="H19" s="11" t="s">
        <v>88</v>
      </c>
      <c r="I19" s="11" t="s">
        <v>88</v>
      </c>
      <c r="J19" s="11" t="s">
        <v>88</v>
      </c>
      <c r="K19" s="11" t="s">
        <v>272</v>
      </c>
      <c r="L19" s="11" t="s">
        <v>88</v>
      </c>
      <c r="M19" s="11" t="s">
        <v>88</v>
      </c>
      <c r="N19" s="11" t="s">
        <v>88</v>
      </c>
      <c r="O19" s="11" t="s">
        <v>88</v>
      </c>
      <c r="P19" s="11" t="s">
        <v>88</v>
      </c>
      <c r="Q19" s="11" t="s">
        <v>90</v>
      </c>
      <c r="R19" s="11" t="s">
        <v>92</v>
      </c>
      <c r="S19" s="105">
        <v>0.33100000000000002</v>
      </c>
      <c r="T19" s="105" t="s">
        <v>92</v>
      </c>
      <c r="U19" s="105"/>
      <c r="V19" s="24"/>
      <c r="W19" s="10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</row>
    <row r="20" spans="1:219" x14ac:dyDescent="0.35">
      <c r="A20" s="9"/>
      <c r="B20" s="10"/>
      <c r="C20" s="24"/>
      <c r="D20" s="12" t="s">
        <v>42</v>
      </c>
      <c r="E20" s="12" t="s">
        <v>88</v>
      </c>
      <c r="F20" s="12" t="s">
        <v>88</v>
      </c>
      <c r="G20" s="12" t="s">
        <v>88</v>
      </c>
      <c r="H20" s="12" t="s">
        <v>88</v>
      </c>
      <c r="I20" s="12" t="s">
        <v>88</v>
      </c>
      <c r="J20" s="12" t="s">
        <v>88</v>
      </c>
      <c r="K20" s="12" t="s">
        <v>88</v>
      </c>
      <c r="L20" s="12" t="s">
        <v>94</v>
      </c>
      <c r="M20" s="12" t="s">
        <v>88</v>
      </c>
      <c r="N20" s="12" t="s">
        <v>88</v>
      </c>
      <c r="O20" s="12" t="s">
        <v>88</v>
      </c>
      <c r="P20" s="12" t="s">
        <v>88</v>
      </c>
      <c r="Q20" s="12" t="s">
        <v>89</v>
      </c>
      <c r="R20" s="12" t="s">
        <v>92</v>
      </c>
      <c r="S20" s="104">
        <v>0.34399999999999997</v>
      </c>
      <c r="T20" s="104">
        <v>0.35399999999999998</v>
      </c>
      <c r="U20" s="104">
        <v>0.33800000000000002</v>
      </c>
      <c r="V20" s="24"/>
      <c r="W20" s="10"/>
      <c r="X20" s="75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</row>
    <row r="21" spans="1:219" x14ac:dyDescent="0.35">
      <c r="A21" s="9"/>
      <c r="B21" s="10"/>
      <c r="C21" s="24"/>
      <c r="D21" s="11" t="s">
        <v>43</v>
      </c>
      <c r="E21" s="11" t="s">
        <v>88</v>
      </c>
      <c r="F21" s="11" t="s">
        <v>88</v>
      </c>
      <c r="G21" s="11" t="s">
        <v>88</v>
      </c>
      <c r="H21" s="11" t="s">
        <v>88</v>
      </c>
      <c r="I21" s="11" t="s">
        <v>88</v>
      </c>
      <c r="J21" s="11" t="s">
        <v>88</v>
      </c>
      <c r="K21" s="11" t="s">
        <v>88</v>
      </c>
      <c r="L21" s="11" t="s">
        <v>94</v>
      </c>
      <c r="M21" s="11" t="s">
        <v>88</v>
      </c>
      <c r="N21" s="11" t="s">
        <v>88</v>
      </c>
      <c r="O21" s="11" t="s">
        <v>88</v>
      </c>
      <c r="P21" s="11" t="s">
        <v>88</v>
      </c>
      <c r="Q21" s="11" t="s">
        <v>90</v>
      </c>
      <c r="R21" s="11" t="s">
        <v>92</v>
      </c>
      <c r="S21" s="105">
        <v>0.36699999999999999</v>
      </c>
      <c r="T21" s="105">
        <v>0.36599999999999999</v>
      </c>
      <c r="U21" s="105">
        <v>0.33500000000000002</v>
      </c>
      <c r="V21" s="24"/>
      <c r="W21" s="10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</row>
    <row r="22" spans="1:219" x14ac:dyDescent="0.35">
      <c r="A22" s="9"/>
      <c r="B22" s="10"/>
      <c r="C22" s="24"/>
      <c r="D22" s="12" t="s">
        <v>44</v>
      </c>
      <c r="E22" s="12" t="s">
        <v>88</v>
      </c>
      <c r="F22" s="12" t="s">
        <v>88</v>
      </c>
      <c r="G22" s="12" t="s">
        <v>88</v>
      </c>
      <c r="H22" s="12" t="s">
        <v>88</v>
      </c>
      <c r="I22" s="12" t="s">
        <v>88</v>
      </c>
      <c r="J22" s="12" t="s">
        <v>88</v>
      </c>
      <c r="K22" s="12" t="s">
        <v>88</v>
      </c>
      <c r="L22" s="12" t="s">
        <v>94</v>
      </c>
      <c r="M22" s="12" t="s">
        <v>88</v>
      </c>
      <c r="N22" s="12" t="s">
        <v>88</v>
      </c>
      <c r="O22" s="12" t="s">
        <v>88</v>
      </c>
      <c r="P22" s="12" t="s">
        <v>88</v>
      </c>
      <c r="Q22" s="12" t="s">
        <v>91</v>
      </c>
      <c r="R22" s="12" t="s">
        <v>92</v>
      </c>
      <c r="S22" s="104">
        <v>0.34599999999999997</v>
      </c>
      <c r="T22" s="104">
        <v>0.36599999999999999</v>
      </c>
      <c r="U22" s="104"/>
      <c r="V22" s="24"/>
      <c r="W22" s="10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</row>
    <row r="23" spans="1:219" x14ac:dyDescent="0.35">
      <c r="A23" s="9"/>
      <c r="B23" s="10"/>
      <c r="C23" s="24"/>
      <c r="D23" s="11" t="s">
        <v>45</v>
      </c>
      <c r="E23" s="11" t="s">
        <v>88</v>
      </c>
      <c r="F23" s="11" t="s">
        <v>88</v>
      </c>
      <c r="G23" s="11" t="s">
        <v>88</v>
      </c>
      <c r="H23" s="11" t="s">
        <v>88</v>
      </c>
      <c r="I23" s="11" t="s">
        <v>270</v>
      </c>
      <c r="J23" s="11" t="s">
        <v>88</v>
      </c>
      <c r="K23" s="11" t="s">
        <v>271</v>
      </c>
      <c r="L23" s="11" t="s">
        <v>94</v>
      </c>
      <c r="M23" s="11" t="s">
        <v>88</v>
      </c>
      <c r="N23" s="11" t="s">
        <v>88</v>
      </c>
      <c r="O23" s="11" t="s">
        <v>88</v>
      </c>
      <c r="P23" s="11" t="s">
        <v>88</v>
      </c>
      <c r="Q23" s="11" t="s">
        <v>89</v>
      </c>
      <c r="R23" s="11" t="s">
        <v>92</v>
      </c>
      <c r="S23" s="105">
        <v>0.34399999999999997</v>
      </c>
      <c r="T23" s="105" t="s">
        <v>92</v>
      </c>
      <c r="U23" s="105"/>
      <c r="V23" s="24"/>
      <c r="W23" s="10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</row>
    <row r="24" spans="1:219" x14ac:dyDescent="0.35">
      <c r="A24" s="9"/>
      <c r="B24" s="10"/>
      <c r="C24" s="24"/>
      <c r="D24" s="12" t="s">
        <v>46</v>
      </c>
      <c r="E24" s="12" t="s">
        <v>88</v>
      </c>
      <c r="F24" s="12" t="s">
        <v>88</v>
      </c>
      <c r="G24" s="12" t="s">
        <v>88</v>
      </c>
      <c r="H24" s="12" t="s">
        <v>88</v>
      </c>
      <c r="I24" s="12" t="s">
        <v>270</v>
      </c>
      <c r="J24" s="12" t="s">
        <v>88</v>
      </c>
      <c r="K24" s="12" t="s">
        <v>271</v>
      </c>
      <c r="L24" s="12" t="s">
        <v>94</v>
      </c>
      <c r="M24" s="12" t="s">
        <v>88</v>
      </c>
      <c r="N24" s="12" t="s">
        <v>88</v>
      </c>
      <c r="O24" s="12" t="s">
        <v>88</v>
      </c>
      <c r="P24" s="12" t="s">
        <v>88</v>
      </c>
      <c r="Q24" s="12" t="s">
        <v>90</v>
      </c>
      <c r="R24" s="12" t="s">
        <v>92</v>
      </c>
      <c r="S24" s="104">
        <v>0.33100000000000002</v>
      </c>
      <c r="T24" s="104" t="s">
        <v>92</v>
      </c>
      <c r="U24" s="104"/>
      <c r="V24" s="24"/>
      <c r="W24" s="10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</row>
    <row r="25" spans="1:219" x14ac:dyDescent="0.35">
      <c r="A25" s="9"/>
      <c r="B25" s="10"/>
      <c r="C25" s="24"/>
      <c r="D25" s="11" t="s">
        <v>47</v>
      </c>
      <c r="E25" s="11" t="s">
        <v>88</v>
      </c>
      <c r="F25" s="11" t="s">
        <v>88</v>
      </c>
      <c r="G25" s="11" t="s">
        <v>88</v>
      </c>
      <c r="H25" s="11" t="s">
        <v>88</v>
      </c>
      <c r="I25" s="11" t="s">
        <v>270</v>
      </c>
      <c r="J25" s="11" t="s">
        <v>88</v>
      </c>
      <c r="K25" s="11" t="s">
        <v>88</v>
      </c>
      <c r="L25" s="11" t="s">
        <v>94</v>
      </c>
      <c r="M25" s="11" t="s">
        <v>88</v>
      </c>
      <c r="N25" s="11" t="s">
        <v>88</v>
      </c>
      <c r="O25" s="11" t="s">
        <v>88</v>
      </c>
      <c r="P25" s="11" t="s">
        <v>88</v>
      </c>
      <c r="Q25" s="11" t="s">
        <v>89</v>
      </c>
      <c r="R25" s="11" t="s">
        <v>92</v>
      </c>
      <c r="S25" s="105">
        <v>0.33200000000000002</v>
      </c>
      <c r="T25" s="105" t="s">
        <v>92</v>
      </c>
      <c r="U25" s="105"/>
      <c r="V25" s="24"/>
      <c r="W25" s="10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</row>
    <row r="26" spans="1:219" x14ac:dyDescent="0.35">
      <c r="A26" s="9"/>
      <c r="B26" s="10"/>
      <c r="C26" s="24"/>
      <c r="D26" s="12" t="s">
        <v>48</v>
      </c>
      <c r="E26" s="12" t="s">
        <v>88</v>
      </c>
      <c r="F26" s="12" t="s">
        <v>88</v>
      </c>
      <c r="G26" s="12" t="s">
        <v>88</v>
      </c>
      <c r="H26" s="12" t="s">
        <v>88</v>
      </c>
      <c r="I26" s="12" t="s">
        <v>270</v>
      </c>
      <c r="J26" s="12" t="s">
        <v>88</v>
      </c>
      <c r="K26" s="12" t="s">
        <v>88</v>
      </c>
      <c r="L26" s="12" t="s">
        <v>94</v>
      </c>
      <c r="M26" s="12" t="s">
        <v>88</v>
      </c>
      <c r="N26" s="12" t="s">
        <v>88</v>
      </c>
      <c r="O26" s="12" t="s">
        <v>88</v>
      </c>
      <c r="P26" s="12" t="s">
        <v>88</v>
      </c>
      <c r="Q26" s="12" t="s">
        <v>90</v>
      </c>
      <c r="R26" s="12" t="s">
        <v>92</v>
      </c>
      <c r="S26" s="104">
        <v>0.312</v>
      </c>
      <c r="T26" s="104" t="s">
        <v>92</v>
      </c>
      <c r="U26" s="104"/>
      <c r="V26" s="24"/>
      <c r="W26" s="10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</row>
    <row r="27" spans="1:219" x14ac:dyDescent="0.35">
      <c r="A27" s="9"/>
      <c r="B27" s="10"/>
      <c r="C27" s="24"/>
      <c r="D27" s="11" t="s">
        <v>49</v>
      </c>
      <c r="E27" s="11" t="s">
        <v>88</v>
      </c>
      <c r="F27" s="11" t="s">
        <v>88</v>
      </c>
      <c r="G27" s="11" t="s">
        <v>88</v>
      </c>
      <c r="H27" s="11" t="s">
        <v>88</v>
      </c>
      <c r="I27" s="11" t="s">
        <v>88</v>
      </c>
      <c r="J27" s="11" t="s">
        <v>95</v>
      </c>
      <c r="K27" s="11" t="s">
        <v>88</v>
      </c>
      <c r="L27" s="11" t="s">
        <v>94</v>
      </c>
      <c r="M27" s="11" t="s">
        <v>88</v>
      </c>
      <c r="N27" s="11" t="s">
        <v>88</v>
      </c>
      <c r="O27" s="11" t="s">
        <v>88</v>
      </c>
      <c r="P27" s="11" t="s">
        <v>88</v>
      </c>
      <c r="Q27" s="11" t="s">
        <v>89</v>
      </c>
      <c r="R27" s="11" t="s">
        <v>92</v>
      </c>
      <c r="S27" s="105">
        <v>0.33900000000000002</v>
      </c>
      <c r="T27" s="105" t="s">
        <v>92</v>
      </c>
      <c r="U27" s="105"/>
      <c r="V27" s="24"/>
      <c r="W27" s="10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</row>
    <row r="28" spans="1:219" x14ac:dyDescent="0.35">
      <c r="A28" s="9"/>
      <c r="B28" s="10"/>
      <c r="C28" s="24"/>
      <c r="D28" s="12" t="s">
        <v>50</v>
      </c>
      <c r="E28" s="12" t="s">
        <v>88</v>
      </c>
      <c r="F28" s="12" t="s">
        <v>88</v>
      </c>
      <c r="G28" s="12" t="s">
        <v>88</v>
      </c>
      <c r="H28" s="12" t="s">
        <v>88</v>
      </c>
      <c r="I28" s="12" t="s">
        <v>88</v>
      </c>
      <c r="J28" s="12" t="s">
        <v>95</v>
      </c>
      <c r="K28" s="12" t="s">
        <v>88</v>
      </c>
      <c r="L28" s="12" t="s">
        <v>94</v>
      </c>
      <c r="M28" s="12" t="s">
        <v>88</v>
      </c>
      <c r="N28" s="12" t="s">
        <v>88</v>
      </c>
      <c r="O28" s="12" t="s">
        <v>88</v>
      </c>
      <c r="P28" s="12" t="s">
        <v>88</v>
      </c>
      <c r="Q28" s="12" t="s">
        <v>90</v>
      </c>
      <c r="R28" s="12" t="s">
        <v>92</v>
      </c>
      <c r="S28" s="104">
        <v>0.36699999999999999</v>
      </c>
      <c r="T28" s="104" t="s">
        <v>92</v>
      </c>
      <c r="U28" s="104"/>
      <c r="V28" s="24"/>
      <c r="W28" s="10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</row>
    <row r="29" spans="1:219" x14ac:dyDescent="0.35">
      <c r="A29" s="9"/>
      <c r="B29" s="10"/>
      <c r="C29" s="24"/>
      <c r="D29" s="11" t="s">
        <v>51</v>
      </c>
      <c r="E29" s="11" t="s">
        <v>88</v>
      </c>
      <c r="F29" s="11" t="s">
        <v>88</v>
      </c>
      <c r="G29" s="11" t="s">
        <v>88</v>
      </c>
      <c r="H29" s="11" t="s">
        <v>88</v>
      </c>
      <c r="I29" s="11" t="s">
        <v>88</v>
      </c>
      <c r="J29" s="11" t="s">
        <v>88</v>
      </c>
      <c r="K29" s="11" t="s">
        <v>88</v>
      </c>
      <c r="L29" s="11" t="s">
        <v>94</v>
      </c>
      <c r="M29" s="11" t="s">
        <v>95</v>
      </c>
      <c r="N29" s="11" t="s">
        <v>88</v>
      </c>
      <c r="O29" s="11" t="s">
        <v>88</v>
      </c>
      <c r="P29" s="11" t="s">
        <v>88</v>
      </c>
      <c r="Q29" s="11" t="s">
        <v>89</v>
      </c>
      <c r="R29" s="11" t="s">
        <v>92</v>
      </c>
      <c r="S29" s="105">
        <v>0.34300000000000003</v>
      </c>
      <c r="T29" s="105" t="s">
        <v>92</v>
      </c>
      <c r="U29" s="105"/>
      <c r="V29" s="24"/>
      <c r="W29" s="10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</row>
    <row r="30" spans="1:219" x14ac:dyDescent="0.35">
      <c r="A30" s="9"/>
      <c r="B30" s="10"/>
      <c r="C30" s="24"/>
      <c r="D30" s="12" t="s">
        <v>52</v>
      </c>
      <c r="E30" s="12" t="s">
        <v>88</v>
      </c>
      <c r="F30" s="12" t="s">
        <v>88</v>
      </c>
      <c r="G30" s="12" t="s">
        <v>88</v>
      </c>
      <c r="H30" s="12" t="s">
        <v>88</v>
      </c>
      <c r="I30" s="12" t="s">
        <v>88</v>
      </c>
      <c r="J30" s="12" t="s">
        <v>88</v>
      </c>
      <c r="K30" s="12" t="s">
        <v>88</v>
      </c>
      <c r="L30" s="12" t="s">
        <v>94</v>
      </c>
      <c r="M30" s="12" t="s">
        <v>95</v>
      </c>
      <c r="N30" s="12" t="s">
        <v>88</v>
      </c>
      <c r="O30" s="12" t="s">
        <v>88</v>
      </c>
      <c r="P30" s="12" t="s">
        <v>88</v>
      </c>
      <c r="Q30" s="12" t="s">
        <v>90</v>
      </c>
      <c r="R30" s="12" t="s">
        <v>92</v>
      </c>
      <c r="S30" s="104">
        <v>0.35899999999999999</v>
      </c>
      <c r="T30" s="104" t="s">
        <v>92</v>
      </c>
      <c r="U30" s="104"/>
      <c r="V30" s="24"/>
      <c r="W30" s="10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</row>
    <row r="31" spans="1:219" x14ac:dyDescent="0.35">
      <c r="A31" s="9"/>
      <c r="B31" s="10"/>
      <c r="C31" s="24"/>
      <c r="D31" s="11" t="s">
        <v>53</v>
      </c>
      <c r="E31" s="11" t="s">
        <v>88</v>
      </c>
      <c r="F31" s="11" t="s">
        <v>88</v>
      </c>
      <c r="G31" s="11" t="s">
        <v>88</v>
      </c>
      <c r="H31" s="11" t="s">
        <v>88</v>
      </c>
      <c r="I31" s="11" t="s">
        <v>88</v>
      </c>
      <c r="J31" s="11" t="s">
        <v>88</v>
      </c>
      <c r="K31" s="11" t="s">
        <v>88</v>
      </c>
      <c r="L31" s="11" t="s">
        <v>94</v>
      </c>
      <c r="M31" s="11" t="s">
        <v>88</v>
      </c>
      <c r="N31" s="11" t="s">
        <v>273</v>
      </c>
      <c r="O31" s="11" t="s">
        <v>88</v>
      </c>
      <c r="P31" s="11" t="s">
        <v>88</v>
      </c>
      <c r="Q31" s="11" t="s">
        <v>89</v>
      </c>
      <c r="R31" s="11" t="s">
        <v>92</v>
      </c>
      <c r="S31" s="105">
        <v>0.48799999999999999</v>
      </c>
      <c r="T31" s="105">
        <v>0.38300000000000001</v>
      </c>
      <c r="U31" s="105">
        <v>0.33500000000000002</v>
      </c>
      <c r="V31" s="24"/>
      <c r="W31" s="10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</row>
    <row r="32" spans="1:219" x14ac:dyDescent="0.35">
      <c r="A32" s="9"/>
      <c r="B32" s="10"/>
      <c r="C32" s="24"/>
      <c r="D32" s="12" t="s">
        <v>54</v>
      </c>
      <c r="E32" s="12" t="s">
        <v>88</v>
      </c>
      <c r="F32" s="12" t="s">
        <v>88</v>
      </c>
      <c r="G32" s="12" t="s">
        <v>88</v>
      </c>
      <c r="H32" s="12" t="s">
        <v>88</v>
      </c>
      <c r="I32" s="12" t="s">
        <v>88</v>
      </c>
      <c r="J32" s="12" t="s">
        <v>88</v>
      </c>
      <c r="K32" s="12" t="s">
        <v>88</v>
      </c>
      <c r="L32" s="12" t="s">
        <v>94</v>
      </c>
      <c r="M32" s="12" t="s">
        <v>88</v>
      </c>
      <c r="N32" s="12" t="s">
        <v>273</v>
      </c>
      <c r="O32" s="12" t="s">
        <v>88</v>
      </c>
      <c r="P32" s="12" t="s">
        <v>88</v>
      </c>
      <c r="Q32" s="12" t="s">
        <v>90</v>
      </c>
      <c r="R32" s="12" t="s">
        <v>92</v>
      </c>
      <c r="S32" s="104">
        <v>0.45400000000000001</v>
      </c>
      <c r="T32" s="104">
        <v>0.33200000000000002</v>
      </c>
      <c r="U32" s="104">
        <v>0.34699999999999998</v>
      </c>
      <c r="V32" s="24"/>
      <c r="W32" s="10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</row>
    <row r="33" spans="1:219" x14ac:dyDescent="0.35">
      <c r="A33" s="9"/>
      <c r="B33" s="10"/>
      <c r="C33" s="24"/>
      <c r="D33" s="11" t="s">
        <v>55</v>
      </c>
      <c r="E33" s="11" t="s">
        <v>88</v>
      </c>
      <c r="F33" s="11" t="s">
        <v>88</v>
      </c>
      <c r="G33" s="11" t="s">
        <v>88</v>
      </c>
      <c r="H33" s="11" t="s">
        <v>88</v>
      </c>
      <c r="I33" s="11" t="s">
        <v>88</v>
      </c>
      <c r="J33" s="11" t="s">
        <v>88</v>
      </c>
      <c r="K33" s="11" t="s">
        <v>88</v>
      </c>
      <c r="L33" s="11" t="s">
        <v>94</v>
      </c>
      <c r="M33" s="11" t="s">
        <v>88</v>
      </c>
      <c r="N33" s="11" t="s">
        <v>273</v>
      </c>
      <c r="O33" s="11" t="s">
        <v>88</v>
      </c>
      <c r="P33" s="11" t="s">
        <v>88</v>
      </c>
      <c r="Q33" s="11" t="s">
        <v>91</v>
      </c>
      <c r="R33" s="11" t="s">
        <v>92</v>
      </c>
      <c r="S33" s="105">
        <v>0.46</v>
      </c>
      <c r="T33" s="105">
        <v>0.245</v>
      </c>
      <c r="U33" s="105">
        <v>0.34300000000000003</v>
      </c>
      <c r="V33" s="24"/>
      <c r="W33" s="10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</row>
    <row r="34" spans="1:219" x14ac:dyDescent="0.35">
      <c r="A34" s="9"/>
      <c r="B34" s="10"/>
      <c r="C34" s="24"/>
      <c r="D34" s="12" t="s">
        <v>56</v>
      </c>
      <c r="E34" s="12" t="s">
        <v>88</v>
      </c>
      <c r="F34" s="12" t="s">
        <v>88</v>
      </c>
      <c r="G34" s="12" t="s">
        <v>88</v>
      </c>
      <c r="H34" s="12" t="s">
        <v>88</v>
      </c>
      <c r="I34" s="12" t="s">
        <v>88</v>
      </c>
      <c r="J34" s="12" t="s">
        <v>88</v>
      </c>
      <c r="K34" s="12" t="s">
        <v>88</v>
      </c>
      <c r="L34" s="12" t="s">
        <v>96</v>
      </c>
      <c r="M34" s="12" t="s">
        <v>88</v>
      </c>
      <c r="N34" s="12" t="s">
        <v>273</v>
      </c>
      <c r="O34" s="12" t="s">
        <v>88</v>
      </c>
      <c r="P34" s="12" t="s">
        <v>88</v>
      </c>
      <c r="Q34" s="12" t="s">
        <v>89</v>
      </c>
      <c r="R34" s="12" t="s">
        <v>92</v>
      </c>
      <c r="S34" s="104">
        <v>0.33500000000000002</v>
      </c>
      <c r="T34" s="104" t="s">
        <v>92</v>
      </c>
      <c r="U34" s="104"/>
      <c r="V34" s="24"/>
      <c r="W34" s="10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</row>
    <row r="35" spans="1:219" ht="15" thickBot="1" x14ac:dyDescent="0.4">
      <c r="A35" s="9"/>
      <c r="B35" s="10"/>
      <c r="C35" s="32"/>
      <c r="D35" s="6" t="s">
        <v>57</v>
      </c>
      <c r="E35" s="6" t="s">
        <v>88</v>
      </c>
      <c r="F35" s="6" t="s">
        <v>88</v>
      </c>
      <c r="G35" s="6" t="s">
        <v>88</v>
      </c>
      <c r="H35" s="6" t="s">
        <v>88</v>
      </c>
      <c r="I35" s="6" t="s">
        <v>88</v>
      </c>
      <c r="J35" s="6" t="s">
        <v>88</v>
      </c>
      <c r="K35" s="6" t="s">
        <v>88</v>
      </c>
      <c r="L35" s="6" t="s">
        <v>96</v>
      </c>
      <c r="M35" s="6" t="s">
        <v>88</v>
      </c>
      <c r="N35" s="6" t="s">
        <v>273</v>
      </c>
      <c r="O35" s="6" t="s">
        <v>88</v>
      </c>
      <c r="P35" s="6" t="s">
        <v>88</v>
      </c>
      <c r="Q35" s="6" t="s">
        <v>90</v>
      </c>
      <c r="R35" s="6" t="s">
        <v>92</v>
      </c>
      <c r="S35" s="106">
        <v>0.34</v>
      </c>
      <c r="T35" s="106" t="s">
        <v>92</v>
      </c>
      <c r="U35" s="106"/>
      <c r="V35" s="32"/>
      <c r="W35" s="10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</row>
    <row r="36" spans="1:219" x14ac:dyDescent="0.35">
      <c r="A36" s="9"/>
      <c r="B36" s="10"/>
      <c r="C36" s="33"/>
      <c r="D36" s="8" t="s">
        <v>58</v>
      </c>
      <c r="E36" s="8" t="s">
        <v>95</v>
      </c>
      <c r="F36" s="8" t="s">
        <v>95</v>
      </c>
      <c r="G36" s="8" t="s">
        <v>95</v>
      </c>
      <c r="H36" s="8" t="s">
        <v>95</v>
      </c>
      <c r="I36" s="8" t="s">
        <v>88</v>
      </c>
      <c r="J36" s="8" t="s">
        <v>95</v>
      </c>
      <c r="K36" s="8" t="s">
        <v>88</v>
      </c>
      <c r="L36" s="8" t="s">
        <v>94</v>
      </c>
      <c r="M36" s="8" t="s">
        <v>95</v>
      </c>
      <c r="N36" s="8" t="s">
        <v>273</v>
      </c>
      <c r="O36" s="8" t="s">
        <v>88</v>
      </c>
      <c r="P36" s="8" t="s">
        <v>88</v>
      </c>
      <c r="Q36" s="8" t="s">
        <v>89</v>
      </c>
      <c r="R36" s="8" t="s">
        <v>111</v>
      </c>
      <c r="S36" s="107">
        <v>0.39900000000000002</v>
      </c>
      <c r="T36" s="107">
        <v>0.308</v>
      </c>
      <c r="U36" s="107">
        <v>0.39200000000000002</v>
      </c>
      <c r="V36" s="34"/>
      <c r="W36" s="10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</row>
    <row r="37" spans="1:219" x14ac:dyDescent="0.35">
      <c r="A37" s="9"/>
      <c r="B37" s="10"/>
      <c r="C37" s="25"/>
      <c r="D37" s="14" t="s">
        <v>59</v>
      </c>
      <c r="E37" s="14" t="s">
        <v>95</v>
      </c>
      <c r="F37" s="14" t="s">
        <v>95</v>
      </c>
      <c r="G37" s="14" t="s">
        <v>95</v>
      </c>
      <c r="H37" s="14" t="s">
        <v>95</v>
      </c>
      <c r="I37" s="14" t="s">
        <v>88</v>
      </c>
      <c r="J37" s="14" t="s">
        <v>95</v>
      </c>
      <c r="K37" s="14" t="s">
        <v>88</v>
      </c>
      <c r="L37" s="14" t="s">
        <v>94</v>
      </c>
      <c r="M37" s="14" t="s">
        <v>95</v>
      </c>
      <c r="N37" s="14" t="s">
        <v>273</v>
      </c>
      <c r="O37" s="14" t="s">
        <v>88</v>
      </c>
      <c r="P37" s="14" t="s">
        <v>88</v>
      </c>
      <c r="Q37" s="14" t="s">
        <v>89</v>
      </c>
      <c r="R37" s="14" t="s">
        <v>112</v>
      </c>
      <c r="S37" s="108">
        <v>0.375</v>
      </c>
      <c r="T37" s="108">
        <v>0.29799999999999999</v>
      </c>
      <c r="U37" s="108">
        <v>0.36</v>
      </c>
      <c r="V37" s="26" t="s">
        <v>126</v>
      </c>
      <c r="W37" s="10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</row>
    <row r="38" spans="1:219" x14ac:dyDescent="0.35">
      <c r="A38" s="9"/>
      <c r="B38" s="10"/>
      <c r="C38" s="25" t="s">
        <v>103</v>
      </c>
      <c r="D38" s="13" t="s">
        <v>60</v>
      </c>
      <c r="E38" s="13" t="s">
        <v>95</v>
      </c>
      <c r="F38" s="13" t="s">
        <v>95</v>
      </c>
      <c r="G38" s="13" t="s">
        <v>95</v>
      </c>
      <c r="H38" s="13" t="s">
        <v>95</v>
      </c>
      <c r="I38" s="13" t="s">
        <v>88</v>
      </c>
      <c r="J38" s="13" t="s">
        <v>95</v>
      </c>
      <c r="K38" s="13" t="s">
        <v>88</v>
      </c>
      <c r="L38" s="13" t="s">
        <v>94</v>
      </c>
      <c r="M38" s="13" t="s">
        <v>95</v>
      </c>
      <c r="N38" s="13" t="s">
        <v>273</v>
      </c>
      <c r="O38" s="13" t="s">
        <v>88</v>
      </c>
      <c r="P38" s="13" t="s">
        <v>88</v>
      </c>
      <c r="Q38" s="13" t="s">
        <v>89</v>
      </c>
      <c r="R38" s="13" t="s">
        <v>113</v>
      </c>
      <c r="S38" s="109">
        <v>0.41099999999999998</v>
      </c>
      <c r="T38" s="109">
        <v>0.315</v>
      </c>
      <c r="U38" s="109">
        <v>0.33700000000000002</v>
      </c>
      <c r="V38" s="26"/>
      <c r="W38" s="10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</row>
    <row r="39" spans="1:219" x14ac:dyDescent="0.35">
      <c r="A39" s="9"/>
      <c r="B39" s="10"/>
      <c r="C39" s="25"/>
      <c r="D39" s="14" t="s">
        <v>61</v>
      </c>
      <c r="E39" s="14" t="s">
        <v>95</v>
      </c>
      <c r="F39" s="14" t="s">
        <v>95</v>
      </c>
      <c r="G39" s="14" t="s">
        <v>95</v>
      </c>
      <c r="H39" s="14" t="s">
        <v>95</v>
      </c>
      <c r="I39" s="14" t="s">
        <v>88</v>
      </c>
      <c r="J39" s="14" t="s">
        <v>95</v>
      </c>
      <c r="K39" s="14" t="s">
        <v>88</v>
      </c>
      <c r="L39" s="14" t="s">
        <v>94</v>
      </c>
      <c r="M39" s="14" t="s">
        <v>95</v>
      </c>
      <c r="N39" s="14" t="s">
        <v>273</v>
      </c>
      <c r="O39" s="14" t="s">
        <v>88</v>
      </c>
      <c r="P39" s="14" t="s">
        <v>88</v>
      </c>
      <c r="Q39" s="14" t="s">
        <v>107</v>
      </c>
      <c r="R39" s="14" t="s">
        <v>274</v>
      </c>
      <c r="S39" s="108">
        <v>0.373</v>
      </c>
      <c r="T39" s="108">
        <v>0.23599999999999999</v>
      </c>
      <c r="U39" s="108">
        <v>0.27900000000000003</v>
      </c>
      <c r="V39" s="26"/>
      <c r="W39" s="10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</row>
    <row r="40" spans="1:219" x14ac:dyDescent="0.35">
      <c r="A40" s="9"/>
      <c r="B40" s="10"/>
      <c r="C40" s="25" t="s">
        <v>104</v>
      </c>
      <c r="D40" s="13" t="s">
        <v>62</v>
      </c>
      <c r="E40" s="13" t="s">
        <v>95</v>
      </c>
      <c r="F40" s="13" t="s">
        <v>95</v>
      </c>
      <c r="G40" s="13" t="s">
        <v>95</v>
      </c>
      <c r="H40" s="13" t="s">
        <v>95</v>
      </c>
      <c r="I40" s="13" t="s">
        <v>88</v>
      </c>
      <c r="J40" s="13" t="s">
        <v>95</v>
      </c>
      <c r="K40" s="13" t="s">
        <v>88</v>
      </c>
      <c r="L40" s="13" t="s">
        <v>94</v>
      </c>
      <c r="M40" s="13" t="s">
        <v>95</v>
      </c>
      <c r="N40" s="13" t="s">
        <v>273</v>
      </c>
      <c r="O40" s="13" t="s">
        <v>88</v>
      </c>
      <c r="P40" s="13" t="s">
        <v>88</v>
      </c>
      <c r="Q40" s="13" t="s">
        <v>107</v>
      </c>
      <c r="R40" s="13" t="s">
        <v>275</v>
      </c>
      <c r="S40" s="109">
        <v>0.437</v>
      </c>
      <c r="T40" s="109">
        <v>0.29099999999999998</v>
      </c>
      <c r="U40" s="109">
        <v>0.33300000000000002</v>
      </c>
      <c r="V40" s="26"/>
      <c r="W40" s="10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</row>
    <row r="41" spans="1:219" x14ac:dyDescent="0.35">
      <c r="A41" s="9"/>
      <c r="B41" s="10"/>
      <c r="C41" s="25" t="s">
        <v>29</v>
      </c>
      <c r="D41" s="14" t="s">
        <v>63</v>
      </c>
      <c r="E41" s="14" t="s">
        <v>95</v>
      </c>
      <c r="F41" s="14" t="s">
        <v>95</v>
      </c>
      <c r="G41" s="14" t="s">
        <v>95</v>
      </c>
      <c r="H41" s="14" t="s">
        <v>95</v>
      </c>
      <c r="I41" s="14" t="s">
        <v>88</v>
      </c>
      <c r="J41" s="14" t="s">
        <v>95</v>
      </c>
      <c r="K41" s="14" t="s">
        <v>88</v>
      </c>
      <c r="L41" s="14" t="s">
        <v>94</v>
      </c>
      <c r="M41" s="14" t="s">
        <v>95</v>
      </c>
      <c r="N41" s="14" t="s">
        <v>273</v>
      </c>
      <c r="O41" s="14" t="s">
        <v>88</v>
      </c>
      <c r="P41" s="14" t="s">
        <v>88</v>
      </c>
      <c r="Q41" s="14" t="s">
        <v>90</v>
      </c>
      <c r="R41" s="14" t="s">
        <v>276</v>
      </c>
      <c r="S41" s="108">
        <v>0.45100000000000001</v>
      </c>
      <c r="T41" s="108">
        <v>0.33200000000000002</v>
      </c>
      <c r="U41" s="108">
        <v>0.34499999999999997</v>
      </c>
      <c r="V41" s="26"/>
      <c r="W41" s="10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</row>
    <row r="42" spans="1:219" x14ac:dyDescent="0.35">
      <c r="A42" s="9"/>
      <c r="B42" s="10"/>
      <c r="C42" s="25"/>
      <c r="D42" s="13" t="s">
        <v>64</v>
      </c>
      <c r="E42" s="13" t="s">
        <v>95</v>
      </c>
      <c r="F42" s="13" t="s">
        <v>95</v>
      </c>
      <c r="G42" s="13" t="s">
        <v>95</v>
      </c>
      <c r="H42" s="13" t="s">
        <v>95</v>
      </c>
      <c r="I42" s="13" t="s">
        <v>88</v>
      </c>
      <c r="J42" s="13" t="s">
        <v>95</v>
      </c>
      <c r="K42" s="13" t="s">
        <v>88</v>
      </c>
      <c r="L42" s="13" t="s">
        <v>94</v>
      </c>
      <c r="M42" s="13" t="s">
        <v>95</v>
      </c>
      <c r="N42" s="13" t="s">
        <v>273</v>
      </c>
      <c r="O42" s="13" t="s">
        <v>88</v>
      </c>
      <c r="P42" s="13" t="s">
        <v>88</v>
      </c>
      <c r="Q42" s="13" t="s">
        <v>90</v>
      </c>
      <c r="R42" s="13" t="s">
        <v>277</v>
      </c>
      <c r="S42" s="109">
        <v>0.45500000000000002</v>
      </c>
      <c r="T42" s="109">
        <v>0.39800000000000002</v>
      </c>
      <c r="U42" s="109">
        <v>0.31</v>
      </c>
      <c r="V42" s="26"/>
      <c r="W42" s="10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</row>
    <row r="43" spans="1:219" x14ac:dyDescent="0.35">
      <c r="A43" s="9"/>
      <c r="B43" s="10"/>
      <c r="C43" s="25"/>
      <c r="D43" s="14" t="s">
        <v>65</v>
      </c>
      <c r="E43" s="14" t="s">
        <v>95</v>
      </c>
      <c r="F43" s="14" t="s">
        <v>95</v>
      </c>
      <c r="G43" s="14" t="s">
        <v>95</v>
      </c>
      <c r="H43" s="14" t="s">
        <v>95</v>
      </c>
      <c r="I43" s="14" t="s">
        <v>88</v>
      </c>
      <c r="J43" s="14" t="s">
        <v>95</v>
      </c>
      <c r="K43" s="14" t="s">
        <v>88</v>
      </c>
      <c r="L43" s="14" t="s">
        <v>94</v>
      </c>
      <c r="M43" s="14" t="s">
        <v>95</v>
      </c>
      <c r="N43" s="14" t="s">
        <v>273</v>
      </c>
      <c r="O43" s="14" t="s">
        <v>88</v>
      </c>
      <c r="P43" s="14" t="s">
        <v>88</v>
      </c>
      <c r="Q43" s="14" t="s">
        <v>108</v>
      </c>
      <c r="R43" s="14" t="s">
        <v>278</v>
      </c>
      <c r="S43" s="108">
        <v>0.378</v>
      </c>
      <c r="T43" s="108">
        <v>0.32300000000000001</v>
      </c>
      <c r="U43" s="108">
        <v>0.28699999999999998</v>
      </c>
      <c r="V43" s="26"/>
      <c r="W43" s="10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</row>
    <row r="44" spans="1:219" x14ac:dyDescent="0.35">
      <c r="A44" s="9"/>
      <c r="B44" s="10"/>
      <c r="C44" s="25"/>
      <c r="D44" s="13" t="s">
        <v>66</v>
      </c>
      <c r="E44" s="13" t="s">
        <v>95</v>
      </c>
      <c r="F44" s="13" t="s">
        <v>95</v>
      </c>
      <c r="G44" s="13" t="s">
        <v>95</v>
      </c>
      <c r="H44" s="13" t="s">
        <v>95</v>
      </c>
      <c r="I44" s="13" t="s">
        <v>88</v>
      </c>
      <c r="J44" s="13" t="s">
        <v>95</v>
      </c>
      <c r="K44" s="13" t="s">
        <v>88</v>
      </c>
      <c r="L44" s="13" t="s">
        <v>94</v>
      </c>
      <c r="M44" s="13" t="s">
        <v>95</v>
      </c>
      <c r="N44" s="13" t="s">
        <v>273</v>
      </c>
      <c r="O44" s="13" t="s">
        <v>88</v>
      </c>
      <c r="P44" s="13" t="s">
        <v>88</v>
      </c>
      <c r="Q44" s="13" t="s">
        <v>109</v>
      </c>
      <c r="R44" s="13" t="s">
        <v>279</v>
      </c>
      <c r="S44" s="109">
        <v>0.40899999999999997</v>
      </c>
      <c r="T44" s="109">
        <v>0.28399999999999997</v>
      </c>
      <c r="U44" s="109">
        <v>0.28000000000000003</v>
      </c>
      <c r="V44" s="26"/>
      <c r="W44" s="10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</row>
    <row r="45" spans="1:219" x14ac:dyDescent="0.35">
      <c r="A45" s="9"/>
      <c r="B45" s="10"/>
      <c r="C45" s="25"/>
      <c r="D45" s="14" t="s">
        <v>67</v>
      </c>
      <c r="E45" s="14" t="s">
        <v>95</v>
      </c>
      <c r="F45" s="14" t="s">
        <v>95</v>
      </c>
      <c r="G45" s="14" t="s">
        <v>95</v>
      </c>
      <c r="H45" s="14" t="s">
        <v>95</v>
      </c>
      <c r="I45" s="14" t="s">
        <v>88</v>
      </c>
      <c r="J45" s="14" t="s">
        <v>95</v>
      </c>
      <c r="K45" s="14" t="s">
        <v>88</v>
      </c>
      <c r="L45" s="14" t="s">
        <v>94</v>
      </c>
      <c r="M45" s="14" t="s">
        <v>95</v>
      </c>
      <c r="N45" s="14" t="s">
        <v>273</v>
      </c>
      <c r="O45" s="14" t="s">
        <v>88</v>
      </c>
      <c r="P45" s="14" t="s">
        <v>88</v>
      </c>
      <c r="Q45" s="14" t="s">
        <v>91</v>
      </c>
      <c r="R45" s="14" t="s">
        <v>280</v>
      </c>
      <c r="S45" s="108">
        <v>0.39400000000000002</v>
      </c>
      <c r="T45" s="108">
        <v>0.27100000000000002</v>
      </c>
      <c r="U45" s="108">
        <v>0.23499999999999999</v>
      </c>
      <c r="V45" s="26"/>
      <c r="W45" s="10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</row>
    <row r="46" spans="1:219" x14ac:dyDescent="0.35">
      <c r="A46" s="9"/>
      <c r="B46" s="10"/>
      <c r="C46" s="25"/>
      <c r="D46" s="13" t="s">
        <v>68</v>
      </c>
      <c r="E46" s="13" t="s">
        <v>95</v>
      </c>
      <c r="F46" s="13" t="s">
        <v>95</v>
      </c>
      <c r="G46" s="13" t="s">
        <v>95</v>
      </c>
      <c r="H46" s="13" t="s">
        <v>95</v>
      </c>
      <c r="I46" s="13" t="s">
        <v>88</v>
      </c>
      <c r="J46" s="13" t="s">
        <v>95</v>
      </c>
      <c r="K46" s="13" t="s">
        <v>88</v>
      </c>
      <c r="L46" s="13" t="s">
        <v>94</v>
      </c>
      <c r="M46" s="13" t="s">
        <v>95</v>
      </c>
      <c r="N46" s="13" t="s">
        <v>273</v>
      </c>
      <c r="O46" s="13" t="s">
        <v>88</v>
      </c>
      <c r="P46" s="13" t="s">
        <v>88</v>
      </c>
      <c r="Q46" s="13" t="s">
        <v>91</v>
      </c>
      <c r="R46" s="13" t="s">
        <v>281</v>
      </c>
      <c r="S46" s="109">
        <v>0.44</v>
      </c>
      <c r="T46" s="109">
        <v>0.29899999999999999</v>
      </c>
      <c r="U46" s="109">
        <v>0.26300000000000001</v>
      </c>
      <c r="V46" s="26"/>
      <c r="W46" s="10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</row>
    <row r="47" spans="1:219" x14ac:dyDescent="0.35">
      <c r="A47" s="9"/>
      <c r="B47" s="10"/>
      <c r="C47" s="25"/>
      <c r="D47" s="14" t="s">
        <v>69</v>
      </c>
      <c r="E47" s="14" t="s">
        <v>95</v>
      </c>
      <c r="F47" s="14" t="s">
        <v>95</v>
      </c>
      <c r="G47" s="14" t="s">
        <v>95</v>
      </c>
      <c r="H47" s="14" t="s">
        <v>95</v>
      </c>
      <c r="I47" s="14" t="s">
        <v>88</v>
      </c>
      <c r="J47" s="14" t="s">
        <v>95</v>
      </c>
      <c r="K47" s="14" t="s">
        <v>88</v>
      </c>
      <c r="L47" s="14" t="s">
        <v>94</v>
      </c>
      <c r="M47" s="14" t="s">
        <v>95</v>
      </c>
      <c r="N47" s="14" t="s">
        <v>273</v>
      </c>
      <c r="O47" s="14" t="s">
        <v>88</v>
      </c>
      <c r="P47" s="14" t="s">
        <v>88</v>
      </c>
      <c r="Q47" s="14" t="s">
        <v>91</v>
      </c>
      <c r="R47" s="14" t="s">
        <v>282</v>
      </c>
      <c r="S47" s="108">
        <v>0.35899999999999999</v>
      </c>
      <c r="T47" s="108">
        <v>0.26500000000000001</v>
      </c>
      <c r="U47" s="108">
        <v>0.24299999999999999</v>
      </c>
      <c r="V47" s="26"/>
      <c r="W47" s="10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</row>
    <row r="48" spans="1:219" x14ac:dyDescent="0.35">
      <c r="A48" s="9"/>
      <c r="B48" s="10"/>
      <c r="C48" s="25"/>
      <c r="D48" s="13" t="s">
        <v>70</v>
      </c>
      <c r="E48" s="13" t="s">
        <v>95</v>
      </c>
      <c r="F48" s="13" t="s">
        <v>95</v>
      </c>
      <c r="G48" s="13" t="s">
        <v>95</v>
      </c>
      <c r="H48" s="13" t="s">
        <v>95</v>
      </c>
      <c r="I48" s="13" t="s">
        <v>88</v>
      </c>
      <c r="J48" s="13" t="s">
        <v>95</v>
      </c>
      <c r="K48" s="13" t="s">
        <v>88</v>
      </c>
      <c r="L48" s="13" t="s">
        <v>94</v>
      </c>
      <c r="M48" s="13" t="s">
        <v>95</v>
      </c>
      <c r="N48" s="13" t="s">
        <v>273</v>
      </c>
      <c r="O48" s="13" t="s">
        <v>88</v>
      </c>
      <c r="P48" s="13" t="s">
        <v>88</v>
      </c>
      <c r="Q48" s="13" t="s">
        <v>91</v>
      </c>
      <c r="R48" s="13" t="s">
        <v>283</v>
      </c>
      <c r="S48" s="109">
        <v>0.438</v>
      </c>
      <c r="T48" s="109">
        <v>0.24</v>
      </c>
      <c r="U48" s="109">
        <v>0.26600000000000001</v>
      </c>
      <c r="V48" s="26"/>
      <c r="W48" s="10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</row>
    <row r="49" spans="1:219" x14ac:dyDescent="0.35">
      <c r="A49" s="9"/>
      <c r="B49" s="10"/>
      <c r="C49" s="25"/>
      <c r="D49" s="14" t="s">
        <v>71</v>
      </c>
      <c r="E49" s="14" t="s">
        <v>95</v>
      </c>
      <c r="F49" s="14" t="s">
        <v>95</v>
      </c>
      <c r="G49" s="14" t="s">
        <v>95</v>
      </c>
      <c r="H49" s="14" t="s">
        <v>95</v>
      </c>
      <c r="I49" s="14" t="s">
        <v>88</v>
      </c>
      <c r="J49" s="14" t="s">
        <v>95</v>
      </c>
      <c r="K49" s="14" t="s">
        <v>88</v>
      </c>
      <c r="L49" s="14" t="s">
        <v>94</v>
      </c>
      <c r="M49" s="14" t="s">
        <v>95</v>
      </c>
      <c r="N49" s="14" t="s">
        <v>273</v>
      </c>
      <c r="O49" s="14" t="s">
        <v>88</v>
      </c>
      <c r="P49" s="14" t="s">
        <v>88</v>
      </c>
      <c r="Q49" s="14" t="s">
        <v>110</v>
      </c>
      <c r="R49" s="14" t="s">
        <v>114</v>
      </c>
      <c r="S49" s="108">
        <v>0.46700000000000003</v>
      </c>
      <c r="T49" s="108">
        <v>0.27</v>
      </c>
      <c r="U49" s="108">
        <v>0.34</v>
      </c>
      <c r="V49" s="26"/>
      <c r="W49" s="10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</row>
    <row r="50" spans="1:219" x14ac:dyDescent="0.35">
      <c r="A50" s="9"/>
      <c r="B50" s="10"/>
      <c r="C50" s="25"/>
      <c r="D50" s="13" t="s">
        <v>72</v>
      </c>
      <c r="E50" s="13" t="s">
        <v>95</v>
      </c>
      <c r="F50" s="13" t="s">
        <v>95</v>
      </c>
      <c r="G50" s="13" t="s">
        <v>95</v>
      </c>
      <c r="H50" s="13" t="s">
        <v>95</v>
      </c>
      <c r="I50" s="13" t="s">
        <v>88</v>
      </c>
      <c r="J50" s="13" t="s">
        <v>95</v>
      </c>
      <c r="K50" s="13" t="s">
        <v>88</v>
      </c>
      <c r="L50" s="13" t="s">
        <v>94</v>
      </c>
      <c r="M50" s="13" t="s">
        <v>95</v>
      </c>
      <c r="N50" s="13" t="s">
        <v>273</v>
      </c>
      <c r="O50" s="13" t="s">
        <v>88</v>
      </c>
      <c r="P50" s="13" t="s">
        <v>88</v>
      </c>
      <c r="Q50" s="13" t="s">
        <v>110</v>
      </c>
      <c r="R50" s="13" t="s">
        <v>115</v>
      </c>
      <c r="S50" s="109">
        <v>0.45300000000000001</v>
      </c>
      <c r="T50" s="109">
        <v>0.30199999999999999</v>
      </c>
      <c r="U50" s="109">
        <v>0.36899999999999999</v>
      </c>
      <c r="V50" s="26"/>
      <c r="W50" s="10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</row>
    <row r="51" spans="1:219" x14ac:dyDescent="0.35">
      <c r="A51" s="9"/>
      <c r="B51" s="10"/>
      <c r="C51" s="25"/>
      <c r="D51" s="14" t="s">
        <v>73</v>
      </c>
      <c r="E51" s="14" t="s">
        <v>95</v>
      </c>
      <c r="F51" s="14" t="s">
        <v>95</v>
      </c>
      <c r="G51" s="14" t="s">
        <v>95</v>
      </c>
      <c r="H51" s="14" t="s">
        <v>95</v>
      </c>
      <c r="I51" s="14" t="s">
        <v>88</v>
      </c>
      <c r="J51" s="14" t="s">
        <v>95</v>
      </c>
      <c r="K51" s="14" t="s">
        <v>88</v>
      </c>
      <c r="L51" s="14" t="s">
        <v>94</v>
      </c>
      <c r="M51" s="14" t="s">
        <v>95</v>
      </c>
      <c r="N51" s="14" t="s">
        <v>273</v>
      </c>
      <c r="O51" s="14" t="s">
        <v>88</v>
      </c>
      <c r="P51" s="14" t="s">
        <v>88</v>
      </c>
      <c r="Q51" s="14" t="s">
        <v>110</v>
      </c>
      <c r="R51" s="14" t="s">
        <v>116</v>
      </c>
      <c r="S51" s="108">
        <v>0.41399999999999998</v>
      </c>
      <c r="T51" s="108">
        <v>0.27</v>
      </c>
      <c r="U51" s="108">
        <v>0.34</v>
      </c>
      <c r="V51" s="26"/>
      <c r="W51" s="10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</row>
    <row r="52" spans="1:219" ht="15" thickBot="1" x14ac:dyDescent="0.4">
      <c r="A52" s="9"/>
      <c r="B52" s="10"/>
      <c r="C52" s="43"/>
      <c r="D52" s="36" t="s">
        <v>74</v>
      </c>
      <c r="E52" s="36" t="s">
        <v>95</v>
      </c>
      <c r="F52" s="36" t="s">
        <v>95</v>
      </c>
      <c r="G52" s="36" t="s">
        <v>95</v>
      </c>
      <c r="H52" s="36" t="s">
        <v>95</v>
      </c>
      <c r="I52" s="36" t="s">
        <v>88</v>
      </c>
      <c r="J52" s="36" t="s">
        <v>95</v>
      </c>
      <c r="K52" s="36" t="s">
        <v>88</v>
      </c>
      <c r="L52" s="36" t="s">
        <v>94</v>
      </c>
      <c r="M52" s="36" t="s">
        <v>95</v>
      </c>
      <c r="N52" s="36" t="s">
        <v>273</v>
      </c>
      <c r="O52" s="36" t="s">
        <v>88</v>
      </c>
      <c r="P52" s="36" t="s">
        <v>88</v>
      </c>
      <c r="Q52" s="36" t="s">
        <v>110</v>
      </c>
      <c r="R52" s="36" t="s">
        <v>117</v>
      </c>
      <c r="S52" s="110">
        <v>0.45600000000000002</v>
      </c>
      <c r="T52" s="110">
        <v>0.30199999999999999</v>
      </c>
      <c r="U52" s="110">
        <v>0.36899999999999999</v>
      </c>
      <c r="V52" s="35"/>
      <c r="W52" s="10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</row>
    <row r="53" spans="1:219" x14ac:dyDescent="0.35">
      <c r="A53" s="9"/>
      <c r="B53" s="10"/>
      <c r="C53" s="27"/>
      <c r="D53" s="15" t="s">
        <v>75</v>
      </c>
      <c r="E53" s="15" t="s">
        <v>95</v>
      </c>
      <c r="F53" s="15" t="s">
        <v>95</v>
      </c>
      <c r="G53" s="15" t="s">
        <v>95</v>
      </c>
      <c r="H53" s="15" t="s">
        <v>95</v>
      </c>
      <c r="I53" s="15" t="s">
        <v>88</v>
      </c>
      <c r="J53" s="15" t="s">
        <v>95</v>
      </c>
      <c r="K53" s="15" t="s">
        <v>88</v>
      </c>
      <c r="L53" s="15" t="s">
        <v>94</v>
      </c>
      <c r="M53" s="15" t="s">
        <v>95</v>
      </c>
      <c r="N53" s="15" t="s">
        <v>284</v>
      </c>
      <c r="O53" s="15" t="s">
        <v>88</v>
      </c>
      <c r="P53" s="15" t="s">
        <v>88</v>
      </c>
      <c r="Q53" s="15" t="s">
        <v>89</v>
      </c>
      <c r="R53" s="15" t="s">
        <v>113</v>
      </c>
      <c r="S53" s="111">
        <v>0.49</v>
      </c>
      <c r="T53" s="111">
        <v>0.251</v>
      </c>
      <c r="U53" s="111">
        <v>0.32700000000000001</v>
      </c>
      <c r="V53" s="31"/>
      <c r="W53" s="10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</row>
    <row r="54" spans="1:219" x14ac:dyDescent="0.35">
      <c r="A54" s="9"/>
      <c r="B54" s="10"/>
      <c r="C54" s="27" t="s">
        <v>118</v>
      </c>
      <c r="D54" s="16" t="s">
        <v>76</v>
      </c>
      <c r="E54" s="16" t="s">
        <v>95</v>
      </c>
      <c r="F54" s="16" t="s">
        <v>95</v>
      </c>
      <c r="G54" s="16" t="s">
        <v>95</v>
      </c>
      <c r="H54" s="16" t="s">
        <v>95</v>
      </c>
      <c r="I54" s="16" t="s">
        <v>88</v>
      </c>
      <c r="J54" s="16" t="s">
        <v>95</v>
      </c>
      <c r="K54" s="16" t="s">
        <v>88</v>
      </c>
      <c r="L54" s="16" t="s">
        <v>94</v>
      </c>
      <c r="M54" s="16" t="s">
        <v>95</v>
      </c>
      <c r="N54" s="16" t="s">
        <v>284</v>
      </c>
      <c r="O54" s="16" t="s">
        <v>88</v>
      </c>
      <c r="P54" s="16" t="s">
        <v>88</v>
      </c>
      <c r="Q54" s="16" t="s">
        <v>107</v>
      </c>
      <c r="R54" s="16" t="s">
        <v>275</v>
      </c>
      <c r="S54" s="112">
        <v>0.51900000000000002</v>
      </c>
      <c r="T54" s="112">
        <v>0.30199999999999999</v>
      </c>
      <c r="U54" s="112">
        <v>0.36799999999999999</v>
      </c>
      <c r="V54" s="31" t="s">
        <v>126</v>
      </c>
      <c r="W54" s="10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</row>
    <row r="55" spans="1:219" x14ac:dyDescent="0.35">
      <c r="A55" s="9"/>
      <c r="B55" s="10"/>
      <c r="C55" s="27" t="s">
        <v>119</v>
      </c>
      <c r="D55" s="15" t="s">
        <v>77</v>
      </c>
      <c r="E55" s="15" t="s">
        <v>95</v>
      </c>
      <c r="F55" s="15" t="s">
        <v>95</v>
      </c>
      <c r="G55" s="15" t="s">
        <v>95</v>
      </c>
      <c r="H55" s="15" t="s">
        <v>95</v>
      </c>
      <c r="I55" s="15" t="s">
        <v>88</v>
      </c>
      <c r="J55" s="15" t="s">
        <v>95</v>
      </c>
      <c r="K55" s="15" t="s">
        <v>88</v>
      </c>
      <c r="L55" s="15" t="s">
        <v>94</v>
      </c>
      <c r="M55" s="15" t="s">
        <v>95</v>
      </c>
      <c r="N55" s="15" t="s">
        <v>284</v>
      </c>
      <c r="O55" s="15" t="s">
        <v>88</v>
      </c>
      <c r="P55" s="15" t="s">
        <v>88</v>
      </c>
      <c r="Q55" s="15" t="s">
        <v>90</v>
      </c>
      <c r="R55" s="15" t="s">
        <v>277</v>
      </c>
      <c r="S55" s="111">
        <v>0.58899999999999997</v>
      </c>
      <c r="T55" s="111">
        <v>0.309</v>
      </c>
      <c r="U55" s="111">
        <v>0.29099999999999998</v>
      </c>
      <c r="V55" s="31"/>
      <c r="W55" s="10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</row>
    <row r="56" spans="1:219" x14ac:dyDescent="0.35">
      <c r="A56" s="9"/>
      <c r="B56" s="10"/>
      <c r="C56" s="27" t="s">
        <v>120</v>
      </c>
      <c r="D56" s="16" t="s">
        <v>78</v>
      </c>
      <c r="E56" s="16" t="s">
        <v>95</v>
      </c>
      <c r="F56" s="16" t="s">
        <v>95</v>
      </c>
      <c r="G56" s="16" t="s">
        <v>95</v>
      </c>
      <c r="H56" s="16" t="s">
        <v>95</v>
      </c>
      <c r="I56" s="16" t="s">
        <v>88</v>
      </c>
      <c r="J56" s="16" t="s">
        <v>95</v>
      </c>
      <c r="K56" s="16" t="s">
        <v>88</v>
      </c>
      <c r="L56" s="16" t="s">
        <v>94</v>
      </c>
      <c r="M56" s="16" t="s">
        <v>95</v>
      </c>
      <c r="N56" s="16" t="s">
        <v>284</v>
      </c>
      <c r="O56" s="16" t="s">
        <v>88</v>
      </c>
      <c r="P56" s="16" t="s">
        <v>88</v>
      </c>
      <c r="Q56" s="16" t="s">
        <v>108</v>
      </c>
      <c r="R56" s="16" t="s">
        <v>278</v>
      </c>
      <c r="S56" s="112">
        <v>0.46800000000000003</v>
      </c>
      <c r="T56" s="112">
        <v>0.311</v>
      </c>
      <c r="U56" s="112">
        <v>0.29299999999999998</v>
      </c>
      <c r="V56" s="31"/>
      <c r="W56" s="10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</row>
    <row r="57" spans="1:219" ht="15" thickBot="1" x14ac:dyDescent="0.4">
      <c r="A57" s="9"/>
      <c r="B57" s="10"/>
      <c r="C57" s="27"/>
      <c r="D57" s="15" t="s">
        <v>79</v>
      </c>
      <c r="E57" s="15" t="s">
        <v>95</v>
      </c>
      <c r="F57" s="15" t="s">
        <v>95</v>
      </c>
      <c r="G57" s="15" t="s">
        <v>95</v>
      </c>
      <c r="H57" s="15" t="s">
        <v>95</v>
      </c>
      <c r="I57" s="15" t="s">
        <v>88</v>
      </c>
      <c r="J57" s="15" t="s">
        <v>95</v>
      </c>
      <c r="K57" s="15" t="s">
        <v>88</v>
      </c>
      <c r="L57" s="15" t="s">
        <v>94</v>
      </c>
      <c r="M57" s="15" t="s">
        <v>95</v>
      </c>
      <c r="N57" s="15" t="s">
        <v>284</v>
      </c>
      <c r="O57" s="15" t="s">
        <v>88</v>
      </c>
      <c r="P57" s="15" t="s">
        <v>88</v>
      </c>
      <c r="Q57" s="15" t="s">
        <v>109</v>
      </c>
      <c r="R57" s="15" t="s">
        <v>279</v>
      </c>
      <c r="S57" s="111">
        <v>0.51</v>
      </c>
      <c r="T57" s="111">
        <v>0.35099999999999998</v>
      </c>
      <c r="U57" s="111">
        <v>0.34599999999999997</v>
      </c>
      <c r="V57" s="31"/>
      <c r="W57" s="10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</row>
    <row r="58" spans="1:219" x14ac:dyDescent="0.35">
      <c r="A58" s="9"/>
      <c r="B58" s="10"/>
      <c r="C58" s="44"/>
      <c r="D58" s="2" t="s">
        <v>80</v>
      </c>
      <c r="E58" s="2" t="s">
        <v>95</v>
      </c>
      <c r="F58" s="2" t="s">
        <v>95</v>
      </c>
      <c r="G58" s="2" t="s">
        <v>95</v>
      </c>
      <c r="H58" s="2" t="s">
        <v>95</v>
      </c>
      <c r="I58" s="2" t="s">
        <v>88</v>
      </c>
      <c r="J58" s="2" t="s">
        <v>95</v>
      </c>
      <c r="K58" s="2" t="s">
        <v>88</v>
      </c>
      <c r="L58" s="2" t="s">
        <v>94</v>
      </c>
      <c r="M58" s="2" t="s">
        <v>95</v>
      </c>
      <c r="N58" s="2" t="s">
        <v>284</v>
      </c>
      <c r="O58" s="2" t="s">
        <v>124</v>
      </c>
      <c r="P58" s="2" t="s">
        <v>125</v>
      </c>
      <c r="Q58" s="2" t="s">
        <v>89</v>
      </c>
      <c r="R58" s="2" t="s">
        <v>113</v>
      </c>
      <c r="S58" s="113">
        <v>0.47399999999999998</v>
      </c>
      <c r="T58" s="113">
        <v>0.28000000000000003</v>
      </c>
      <c r="U58" s="113">
        <v>0.27400000000000002</v>
      </c>
      <c r="V58" s="37"/>
      <c r="W58" s="10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</row>
    <row r="59" spans="1:219" x14ac:dyDescent="0.35">
      <c r="A59" s="1"/>
      <c r="B59" s="4"/>
      <c r="C59" s="29"/>
      <c r="D59" s="18" t="s">
        <v>81</v>
      </c>
      <c r="E59" s="18" t="s">
        <v>95</v>
      </c>
      <c r="F59" s="18" t="s">
        <v>95</v>
      </c>
      <c r="G59" s="18" t="s">
        <v>95</v>
      </c>
      <c r="H59" s="18" t="s">
        <v>95</v>
      </c>
      <c r="I59" s="18" t="s">
        <v>88</v>
      </c>
      <c r="J59" s="18" t="s">
        <v>95</v>
      </c>
      <c r="K59" s="18" t="s">
        <v>88</v>
      </c>
      <c r="L59" s="18" t="s">
        <v>94</v>
      </c>
      <c r="M59" s="18" t="s">
        <v>95</v>
      </c>
      <c r="N59" s="18" t="s">
        <v>284</v>
      </c>
      <c r="O59" s="18" t="s">
        <v>124</v>
      </c>
      <c r="P59" s="18" t="s">
        <v>125</v>
      </c>
      <c r="Q59" s="18" t="s">
        <v>107</v>
      </c>
      <c r="R59" s="18" t="s">
        <v>275</v>
      </c>
      <c r="S59" s="114">
        <v>0.35799999999999998</v>
      </c>
      <c r="T59" s="114">
        <v>0.38</v>
      </c>
      <c r="U59" s="114">
        <v>0.311</v>
      </c>
      <c r="V59" s="28" t="s">
        <v>128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</row>
    <row r="60" spans="1:219" x14ac:dyDescent="0.35">
      <c r="A60" s="1"/>
      <c r="B60" s="4"/>
      <c r="C60" s="29" t="s">
        <v>121</v>
      </c>
      <c r="D60" s="17" t="s">
        <v>82</v>
      </c>
      <c r="E60" s="17" t="s">
        <v>95</v>
      </c>
      <c r="F60" s="17" t="s">
        <v>95</v>
      </c>
      <c r="G60" s="17" t="s">
        <v>95</v>
      </c>
      <c r="H60" s="17" t="s">
        <v>95</v>
      </c>
      <c r="I60" s="17" t="s">
        <v>88</v>
      </c>
      <c r="J60" s="17" t="s">
        <v>95</v>
      </c>
      <c r="K60" s="17" t="s">
        <v>88</v>
      </c>
      <c r="L60" s="17" t="s">
        <v>94</v>
      </c>
      <c r="M60" s="17" t="s">
        <v>95</v>
      </c>
      <c r="N60" s="17" t="s">
        <v>284</v>
      </c>
      <c r="O60" s="17" t="s">
        <v>124</v>
      </c>
      <c r="P60" s="17" t="s">
        <v>125</v>
      </c>
      <c r="Q60" s="17" t="s">
        <v>90</v>
      </c>
      <c r="R60" s="17" t="s">
        <v>277</v>
      </c>
      <c r="S60" s="115">
        <v>0.60399999999999998</v>
      </c>
      <c r="T60" s="115">
        <v>0.27700000000000002</v>
      </c>
      <c r="U60" s="115">
        <v>0.31900000000000001</v>
      </c>
      <c r="V60" s="28" t="s">
        <v>129</v>
      </c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</row>
    <row r="61" spans="1:219" x14ac:dyDescent="0.35">
      <c r="A61" s="1"/>
      <c r="B61" s="4"/>
      <c r="C61" s="29"/>
      <c r="D61" s="18" t="s">
        <v>83</v>
      </c>
      <c r="E61" s="18" t="s">
        <v>95</v>
      </c>
      <c r="F61" s="18" t="s">
        <v>95</v>
      </c>
      <c r="G61" s="18" t="s">
        <v>95</v>
      </c>
      <c r="H61" s="18" t="s">
        <v>95</v>
      </c>
      <c r="I61" s="18" t="s">
        <v>88</v>
      </c>
      <c r="J61" s="18" t="s">
        <v>95</v>
      </c>
      <c r="K61" s="18" t="s">
        <v>88</v>
      </c>
      <c r="L61" s="18" t="s">
        <v>94</v>
      </c>
      <c r="M61" s="18" t="s">
        <v>95</v>
      </c>
      <c r="N61" s="18" t="s">
        <v>284</v>
      </c>
      <c r="O61" s="18" t="s">
        <v>124</v>
      </c>
      <c r="P61" s="18" t="s">
        <v>125</v>
      </c>
      <c r="Q61" s="18" t="s">
        <v>108</v>
      </c>
      <c r="R61" s="18" t="s">
        <v>285</v>
      </c>
      <c r="S61" s="114">
        <v>0.36799999999999999</v>
      </c>
      <c r="T61" s="114">
        <v>0.44800000000000001</v>
      </c>
      <c r="U61" s="114">
        <v>0.33300000000000002</v>
      </c>
      <c r="V61" s="28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</row>
    <row r="62" spans="1:219" x14ac:dyDescent="0.35">
      <c r="A62" s="1"/>
      <c r="B62" s="4"/>
      <c r="C62" s="29" t="s">
        <v>122</v>
      </c>
      <c r="D62" s="17" t="s">
        <v>84</v>
      </c>
      <c r="E62" s="17" t="s">
        <v>95</v>
      </c>
      <c r="F62" s="17" t="s">
        <v>95</v>
      </c>
      <c r="G62" s="17" t="s">
        <v>95</v>
      </c>
      <c r="H62" s="17" t="s">
        <v>95</v>
      </c>
      <c r="I62" s="17" t="s">
        <v>88</v>
      </c>
      <c r="J62" s="17" t="s">
        <v>95</v>
      </c>
      <c r="K62" s="17" t="s">
        <v>88</v>
      </c>
      <c r="L62" s="17" t="s">
        <v>94</v>
      </c>
      <c r="M62" s="17" t="s">
        <v>95</v>
      </c>
      <c r="N62" s="17" t="s">
        <v>284</v>
      </c>
      <c r="O62" s="17" t="s">
        <v>124</v>
      </c>
      <c r="P62" s="17" t="s">
        <v>125</v>
      </c>
      <c r="Q62" s="17" t="s">
        <v>109</v>
      </c>
      <c r="R62" s="17" t="s">
        <v>279</v>
      </c>
      <c r="S62" s="115">
        <v>0.45</v>
      </c>
      <c r="T62" s="115">
        <v>0.20799999999999999</v>
      </c>
      <c r="U62" s="115">
        <v>0.30599999999999999</v>
      </c>
      <c r="V62" s="28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</row>
    <row r="63" spans="1:219" x14ac:dyDescent="0.35">
      <c r="A63" s="1"/>
      <c r="B63" s="4"/>
      <c r="C63" s="29" t="s">
        <v>123</v>
      </c>
      <c r="D63" s="18" t="s">
        <v>85</v>
      </c>
      <c r="E63" s="18" t="s">
        <v>95</v>
      </c>
      <c r="F63" s="18" t="s">
        <v>95</v>
      </c>
      <c r="G63" s="18" t="s">
        <v>95</v>
      </c>
      <c r="H63" s="18" t="s">
        <v>95</v>
      </c>
      <c r="I63" s="18" t="s">
        <v>88</v>
      </c>
      <c r="J63" s="18" t="s">
        <v>95</v>
      </c>
      <c r="K63" s="18" t="s">
        <v>88</v>
      </c>
      <c r="L63" s="18" t="s">
        <v>94</v>
      </c>
      <c r="M63" s="18" t="s">
        <v>95</v>
      </c>
      <c r="N63" s="18" t="s">
        <v>284</v>
      </c>
      <c r="O63" s="18" t="s">
        <v>124</v>
      </c>
      <c r="P63" s="18" t="s">
        <v>125</v>
      </c>
      <c r="Q63" s="18" t="s">
        <v>91</v>
      </c>
      <c r="R63" s="18" t="s">
        <v>281</v>
      </c>
      <c r="S63" s="114">
        <v>0.57399999999999995</v>
      </c>
      <c r="T63" s="114" t="s">
        <v>92</v>
      </c>
      <c r="U63" s="114" t="s">
        <v>92</v>
      </c>
      <c r="V63" s="28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</row>
    <row r="64" spans="1:219" x14ac:dyDescent="0.35">
      <c r="A64" s="1"/>
      <c r="B64" s="4"/>
      <c r="C64" s="29"/>
      <c r="D64" s="17" t="s">
        <v>86</v>
      </c>
      <c r="E64" s="17" t="s">
        <v>95</v>
      </c>
      <c r="F64" s="17" t="s">
        <v>95</v>
      </c>
      <c r="G64" s="17" t="s">
        <v>95</v>
      </c>
      <c r="H64" s="17" t="s">
        <v>95</v>
      </c>
      <c r="I64" s="17" t="s">
        <v>88</v>
      </c>
      <c r="J64" s="17" t="s">
        <v>95</v>
      </c>
      <c r="K64" s="17" t="s">
        <v>88</v>
      </c>
      <c r="L64" s="17" t="s">
        <v>94</v>
      </c>
      <c r="M64" s="17" t="s">
        <v>95</v>
      </c>
      <c r="N64" s="17" t="s">
        <v>284</v>
      </c>
      <c r="O64" s="17" t="s">
        <v>124</v>
      </c>
      <c r="P64" s="17" t="s">
        <v>125</v>
      </c>
      <c r="Q64" s="17" t="s">
        <v>91</v>
      </c>
      <c r="R64" s="17" t="s">
        <v>283</v>
      </c>
      <c r="S64" s="115">
        <v>0.57199999999999995</v>
      </c>
      <c r="T64" s="115">
        <v>0.27500000000000002</v>
      </c>
      <c r="U64" s="115">
        <v>0.30299999999999999</v>
      </c>
      <c r="V64" s="28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</row>
    <row r="65" spans="1:219" x14ac:dyDescent="0.35">
      <c r="A65" s="1"/>
      <c r="B65" s="4"/>
      <c r="C65" s="29"/>
      <c r="D65" s="18" t="s">
        <v>87</v>
      </c>
      <c r="E65" s="18" t="s">
        <v>95</v>
      </c>
      <c r="F65" s="18" t="s">
        <v>95</v>
      </c>
      <c r="G65" s="18" t="s">
        <v>95</v>
      </c>
      <c r="H65" s="18" t="s">
        <v>95</v>
      </c>
      <c r="I65" s="18" t="s">
        <v>88</v>
      </c>
      <c r="J65" s="18" t="s">
        <v>95</v>
      </c>
      <c r="K65" s="18" t="s">
        <v>88</v>
      </c>
      <c r="L65" s="18" t="s">
        <v>94</v>
      </c>
      <c r="M65" s="18" t="s">
        <v>95</v>
      </c>
      <c r="N65" s="18" t="s">
        <v>284</v>
      </c>
      <c r="O65" s="18" t="s">
        <v>124</v>
      </c>
      <c r="P65" s="18" t="s">
        <v>125</v>
      </c>
      <c r="Q65" s="18" t="s">
        <v>110</v>
      </c>
      <c r="R65" s="18" t="s">
        <v>115</v>
      </c>
      <c r="S65" s="114">
        <v>0.54500000000000004</v>
      </c>
      <c r="T65" s="114" t="s">
        <v>92</v>
      </c>
      <c r="U65" s="114" t="s">
        <v>92</v>
      </c>
      <c r="V65" s="28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</row>
    <row r="66" spans="1:219" x14ac:dyDescent="0.35">
      <c r="A66" s="1"/>
      <c r="B66" s="4"/>
      <c r="C66" s="29"/>
      <c r="D66" s="17" t="s">
        <v>105</v>
      </c>
      <c r="E66" s="17" t="s">
        <v>95</v>
      </c>
      <c r="F66" s="17" t="s">
        <v>95</v>
      </c>
      <c r="G66" s="17" t="s">
        <v>95</v>
      </c>
      <c r="H66" s="17" t="s">
        <v>95</v>
      </c>
      <c r="I66" s="17" t="s">
        <v>88</v>
      </c>
      <c r="J66" s="17" t="s">
        <v>95</v>
      </c>
      <c r="K66" s="17" t="s">
        <v>88</v>
      </c>
      <c r="L66" s="17" t="s">
        <v>94</v>
      </c>
      <c r="M66" s="17" t="s">
        <v>95</v>
      </c>
      <c r="N66" s="17" t="s">
        <v>284</v>
      </c>
      <c r="O66" s="17" t="s">
        <v>124</v>
      </c>
      <c r="P66" s="17" t="s">
        <v>125</v>
      </c>
      <c r="Q66" s="17" t="s">
        <v>110</v>
      </c>
      <c r="R66" s="17" t="s">
        <v>117</v>
      </c>
      <c r="S66" s="115">
        <v>0.56899999999999995</v>
      </c>
      <c r="T66" s="115">
        <v>0.29099999999999998</v>
      </c>
      <c r="U66" s="115">
        <v>0.33800000000000002</v>
      </c>
      <c r="V66" s="28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</row>
    <row r="67" spans="1:219" ht="15" thickBot="1" x14ac:dyDescent="0.4">
      <c r="A67" s="1"/>
      <c r="B67" s="4"/>
      <c r="C67" s="45"/>
      <c r="D67" s="3" t="s">
        <v>106</v>
      </c>
      <c r="E67" s="3" t="s">
        <v>95</v>
      </c>
      <c r="F67" s="3" t="s">
        <v>95</v>
      </c>
      <c r="G67" s="3" t="s">
        <v>95</v>
      </c>
      <c r="H67" s="3" t="s">
        <v>95</v>
      </c>
      <c r="I67" s="3" t="s">
        <v>88</v>
      </c>
      <c r="J67" s="3" t="s">
        <v>95</v>
      </c>
      <c r="K67" s="3" t="s">
        <v>88</v>
      </c>
      <c r="L67" s="3" t="s">
        <v>94</v>
      </c>
      <c r="M67" s="3" t="s">
        <v>95</v>
      </c>
      <c r="N67" s="3" t="s">
        <v>284</v>
      </c>
      <c r="O67" s="3" t="s">
        <v>124</v>
      </c>
      <c r="P67" s="3" t="s">
        <v>125</v>
      </c>
      <c r="Q67" s="3" t="s">
        <v>127</v>
      </c>
      <c r="R67" s="3" t="s">
        <v>286</v>
      </c>
      <c r="S67" s="116">
        <v>0.374</v>
      </c>
      <c r="T67" s="116">
        <v>0.376</v>
      </c>
      <c r="U67" s="116">
        <v>0.33200000000000002</v>
      </c>
      <c r="V67" s="38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</row>
    <row r="68" spans="1:219" x14ac:dyDescent="0.35">
      <c r="A68" s="1"/>
      <c r="B68" s="4"/>
      <c r="C68" s="40"/>
      <c r="D68" s="19" t="s">
        <v>133</v>
      </c>
      <c r="E68" s="19" t="s">
        <v>95</v>
      </c>
      <c r="F68" s="19" t="s">
        <v>95</v>
      </c>
      <c r="G68" s="19" t="s">
        <v>95</v>
      </c>
      <c r="H68" s="19" t="s">
        <v>95</v>
      </c>
      <c r="I68" s="19" t="s">
        <v>88</v>
      </c>
      <c r="J68" s="19" t="s">
        <v>95</v>
      </c>
      <c r="K68" s="19" t="s">
        <v>88</v>
      </c>
      <c r="L68" s="19" t="s">
        <v>94</v>
      </c>
      <c r="M68" s="19" t="s">
        <v>95</v>
      </c>
      <c r="N68" s="19" t="s">
        <v>284</v>
      </c>
      <c r="O68" s="19" t="s">
        <v>124</v>
      </c>
      <c r="P68" s="19" t="s">
        <v>125</v>
      </c>
      <c r="Q68" s="19" t="s">
        <v>107</v>
      </c>
      <c r="R68" s="19" t="s">
        <v>287</v>
      </c>
      <c r="S68" s="117">
        <v>0.41499999999999998</v>
      </c>
      <c r="T68" s="117">
        <v>0.40300000000000002</v>
      </c>
      <c r="U68" s="117">
        <v>0.32100000000000001</v>
      </c>
      <c r="V68" s="63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</row>
    <row r="69" spans="1:219" x14ac:dyDescent="0.35">
      <c r="A69" s="1"/>
      <c r="B69" s="4"/>
      <c r="C69" s="40" t="s">
        <v>130</v>
      </c>
      <c r="D69" s="20" t="s">
        <v>134</v>
      </c>
      <c r="E69" s="20" t="s">
        <v>95</v>
      </c>
      <c r="F69" s="20" t="s">
        <v>95</v>
      </c>
      <c r="G69" s="20" t="s">
        <v>95</v>
      </c>
      <c r="H69" s="20" t="s">
        <v>95</v>
      </c>
      <c r="I69" s="20" t="s">
        <v>88</v>
      </c>
      <c r="J69" s="20" t="s">
        <v>95</v>
      </c>
      <c r="K69" s="20" t="s">
        <v>88</v>
      </c>
      <c r="L69" s="20" t="s">
        <v>94</v>
      </c>
      <c r="M69" s="20" t="s">
        <v>95</v>
      </c>
      <c r="N69" s="20" t="s">
        <v>284</v>
      </c>
      <c r="O69" s="20" t="s">
        <v>124</v>
      </c>
      <c r="P69" s="20" t="s">
        <v>125</v>
      </c>
      <c r="Q69" s="20" t="s">
        <v>107</v>
      </c>
      <c r="R69" s="20" t="s">
        <v>288</v>
      </c>
      <c r="S69" s="118">
        <v>0.42599999999999999</v>
      </c>
      <c r="T69" s="118">
        <v>0.40500000000000003</v>
      </c>
      <c r="U69" s="118">
        <v>0.307</v>
      </c>
      <c r="V69" s="47" t="s">
        <v>195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</row>
    <row r="70" spans="1:219" x14ac:dyDescent="0.35">
      <c r="A70" s="1"/>
      <c r="B70" s="4"/>
      <c r="C70" s="40"/>
      <c r="D70" s="19" t="s">
        <v>135</v>
      </c>
      <c r="E70" s="19" t="s">
        <v>95</v>
      </c>
      <c r="F70" s="19" t="s">
        <v>95</v>
      </c>
      <c r="G70" s="19" t="s">
        <v>95</v>
      </c>
      <c r="H70" s="19" t="s">
        <v>95</v>
      </c>
      <c r="I70" s="19" t="s">
        <v>88</v>
      </c>
      <c r="J70" s="19" t="s">
        <v>95</v>
      </c>
      <c r="K70" s="19" t="s">
        <v>88</v>
      </c>
      <c r="L70" s="19" t="s">
        <v>94</v>
      </c>
      <c r="M70" s="19" t="s">
        <v>95</v>
      </c>
      <c r="N70" s="19" t="s">
        <v>284</v>
      </c>
      <c r="O70" s="19" t="s">
        <v>124</v>
      </c>
      <c r="P70" s="19" t="s">
        <v>125</v>
      </c>
      <c r="Q70" s="19" t="s">
        <v>107</v>
      </c>
      <c r="R70" s="19" t="s">
        <v>289</v>
      </c>
      <c r="S70" s="117">
        <v>0.432</v>
      </c>
      <c r="T70" s="117">
        <v>0.38</v>
      </c>
      <c r="U70" s="117">
        <v>0.34599999999999997</v>
      </c>
      <c r="V70" s="47" t="s">
        <v>290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</row>
    <row r="71" spans="1:219" x14ac:dyDescent="0.35">
      <c r="A71" s="1"/>
      <c r="B71" s="4"/>
      <c r="C71" s="40" t="s">
        <v>131</v>
      </c>
      <c r="D71" s="20" t="s">
        <v>136</v>
      </c>
      <c r="E71" s="20" t="s">
        <v>95</v>
      </c>
      <c r="F71" s="20" t="s">
        <v>95</v>
      </c>
      <c r="G71" s="20" t="s">
        <v>95</v>
      </c>
      <c r="H71" s="20" t="s">
        <v>95</v>
      </c>
      <c r="I71" s="20" t="s">
        <v>88</v>
      </c>
      <c r="J71" s="20" t="s">
        <v>95</v>
      </c>
      <c r="K71" s="20" t="s">
        <v>88</v>
      </c>
      <c r="L71" s="20" t="s">
        <v>94</v>
      </c>
      <c r="M71" s="20" t="s">
        <v>95</v>
      </c>
      <c r="N71" s="20" t="s">
        <v>284</v>
      </c>
      <c r="O71" s="20" t="s">
        <v>124</v>
      </c>
      <c r="P71" s="20" t="s">
        <v>125</v>
      </c>
      <c r="Q71" s="20" t="s">
        <v>107</v>
      </c>
      <c r="R71" s="20" t="s">
        <v>291</v>
      </c>
      <c r="S71" s="118">
        <v>0.44800000000000001</v>
      </c>
      <c r="T71" s="118">
        <v>0.42499999999999999</v>
      </c>
      <c r="U71" s="118">
        <v>0.36799999999999999</v>
      </c>
      <c r="V71" s="47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</row>
    <row r="72" spans="1:219" x14ac:dyDescent="0.35">
      <c r="A72" s="1"/>
      <c r="B72" s="4"/>
      <c r="C72" s="40" t="s">
        <v>29</v>
      </c>
      <c r="D72" s="19" t="s">
        <v>137</v>
      </c>
      <c r="E72" s="19" t="s">
        <v>95</v>
      </c>
      <c r="F72" s="19" t="s">
        <v>95</v>
      </c>
      <c r="G72" s="19" t="s">
        <v>95</v>
      </c>
      <c r="H72" s="19" t="s">
        <v>95</v>
      </c>
      <c r="I72" s="19" t="s">
        <v>88</v>
      </c>
      <c r="J72" s="19" t="s">
        <v>95</v>
      </c>
      <c r="K72" s="19" t="s">
        <v>88</v>
      </c>
      <c r="L72" s="19" t="s">
        <v>94</v>
      </c>
      <c r="M72" s="19" t="s">
        <v>95</v>
      </c>
      <c r="N72" s="19" t="s">
        <v>284</v>
      </c>
      <c r="O72" s="19" t="s">
        <v>124</v>
      </c>
      <c r="P72" s="19" t="s">
        <v>125</v>
      </c>
      <c r="Q72" s="19" t="s">
        <v>107</v>
      </c>
      <c r="R72" s="19" t="s">
        <v>292</v>
      </c>
      <c r="S72" s="117">
        <v>0.47599999999999998</v>
      </c>
      <c r="T72" s="117">
        <v>0.42699999999999999</v>
      </c>
      <c r="U72" s="117">
        <v>0.377</v>
      </c>
      <c r="V72" s="47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</row>
    <row r="73" spans="1:219" x14ac:dyDescent="0.35">
      <c r="A73" s="1"/>
      <c r="B73" s="4"/>
      <c r="C73" s="40" t="s">
        <v>132</v>
      </c>
      <c r="D73" s="20" t="s">
        <v>138</v>
      </c>
      <c r="E73" s="20" t="s">
        <v>95</v>
      </c>
      <c r="F73" s="20" t="s">
        <v>95</v>
      </c>
      <c r="G73" s="20" t="s">
        <v>95</v>
      </c>
      <c r="H73" s="20" t="s">
        <v>95</v>
      </c>
      <c r="I73" s="20" t="s">
        <v>88</v>
      </c>
      <c r="J73" s="20" t="s">
        <v>95</v>
      </c>
      <c r="K73" s="20" t="s">
        <v>88</v>
      </c>
      <c r="L73" s="20" t="s">
        <v>94</v>
      </c>
      <c r="M73" s="20" t="s">
        <v>95</v>
      </c>
      <c r="N73" s="20" t="s">
        <v>284</v>
      </c>
      <c r="O73" s="20" t="s">
        <v>124</v>
      </c>
      <c r="P73" s="20" t="s">
        <v>125</v>
      </c>
      <c r="Q73" s="20" t="s">
        <v>107</v>
      </c>
      <c r="R73" s="20" t="s">
        <v>293</v>
      </c>
      <c r="S73" s="118">
        <v>0.46500000000000002</v>
      </c>
      <c r="T73" s="118">
        <v>0.38100000000000001</v>
      </c>
      <c r="U73" s="118">
        <v>0.34300000000000003</v>
      </c>
      <c r="V73" s="47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</row>
    <row r="74" spans="1:219" x14ac:dyDescent="0.35">
      <c r="A74" s="1"/>
      <c r="B74" s="4"/>
      <c r="C74" s="40"/>
      <c r="D74" s="19" t="s">
        <v>139</v>
      </c>
      <c r="E74" s="19" t="s">
        <v>95</v>
      </c>
      <c r="F74" s="19" t="s">
        <v>95</v>
      </c>
      <c r="G74" s="19" t="s">
        <v>95</v>
      </c>
      <c r="H74" s="19" t="s">
        <v>95</v>
      </c>
      <c r="I74" s="19" t="s">
        <v>88</v>
      </c>
      <c r="J74" s="19" t="s">
        <v>95</v>
      </c>
      <c r="K74" s="19" t="s">
        <v>88</v>
      </c>
      <c r="L74" s="19" t="s">
        <v>94</v>
      </c>
      <c r="M74" s="19" t="s">
        <v>95</v>
      </c>
      <c r="N74" s="19" t="s">
        <v>284</v>
      </c>
      <c r="O74" s="19" t="s">
        <v>124</v>
      </c>
      <c r="P74" s="19" t="s">
        <v>125</v>
      </c>
      <c r="Q74" s="19" t="s">
        <v>107</v>
      </c>
      <c r="R74" s="19" t="s">
        <v>294</v>
      </c>
      <c r="S74" s="117">
        <v>0.53400000000000003</v>
      </c>
      <c r="T74" s="117">
        <v>0.16</v>
      </c>
      <c r="U74" s="117">
        <v>0.13100000000000001</v>
      </c>
      <c r="V74" s="47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</row>
    <row r="75" spans="1:219" x14ac:dyDescent="0.35">
      <c r="A75" s="1"/>
      <c r="B75" s="4"/>
      <c r="C75" s="40"/>
      <c r="D75" s="20" t="s">
        <v>140</v>
      </c>
      <c r="E75" s="20" t="s">
        <v>95</v>
      </c>
      <c r="F75" s="20" t="s">
        <v>95</v>
      </c>
      <c r="G75" s="20" t="s">
        <v>95</v>
      </c>
      <c r="H75" s="20" t="s">
        <v>95</v>
      </c>
      <c r="I75" s="20" t="s">
        <v>88</v>
      </c>
      <c r="J75" s="20" t="s">
        <v>95</v>
      </c>
      <c r="K75" s="20" t="s">
        <v>88</v>
      </c>
      <c r="L75" s="20" t="s">
        <v>94</v>
      </c>
      <c r="M75" s="20" t="s">
        <v>95</v>
      </c>
      <c r="N75" s="20" t="s">
        <v>284</v>
      </c>
      <c r="O75" s="20" t="s">
        <v>124</v>
      </c>
      <c r="P75" s="20" t="s">
        <v>125</v>
      </c>
      <c r="Q75" s="20" t="s">
        <v>107</v>
      </c>
      <c r="R75" s="20" t="s">
        <v>144</v>
      </c>
      <c r="S75" s="118">
        <v>0.42399999999999999</v>
      </c>
      <c r="T75" s="118">
        <v>0.27200000000000002</v>
      </c>
      <c r="U75" s="118">
        <v>0.33200000000000002</v>
      </c>
      <c r="V75" s="47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</row>
    <row r="76" spans="1:219" x14ac:dyDescent="0.35">
      <c r="A76" s="1"/>
      <c r="B76" s="4"/>
      <c r="C76" s="40"/>
      <c r="D76" s="19" t="s">
        <v>141</v>
      </c>
      <c r="E76" s="19" t="s">
        <v>95</v>
      </c>
      <c r="F76" s="19" t="s">
        <v>95</v>
      </c>
      <c r="G76" s="19" t="s">
        <v>95</v>
      </c>
      <c r="H76" s="19" t="s">
        <v>95</v>
      </c>
      <c r="I76" s="19" t="s">
        <v>88</v>
      </c>
      <c r="J76" s="19" t="s">
        <v>95</v>
      </c>
      <c r="K76" s="19" t="s">
        <v>88</v>
      </c>
      <c r="L76" s="19" t="s">
        <v>94</v>
      </c>
      <c r="M76" s="19" t="s">
        <v>95</v>
      </c>
      <c r="N76" s="19" t="s">
        <v>284</v>
      </c>
      <c r="O76" s="19" t="s">
        <v>124</v>
      </c>
      <c r="P76" s="19" t="s">
        <v>125</v>
      </c>
      <c r="Q76" s="19" t="s">
        <v>107</v>
      </c>
      <c r="R76" s="19" t="s">
        <v>143</v>
      </c>
      <c r="S76" s="117">
        <v>0.56599999999999995</v>
      </c>
      <c r="T76" s="117">
        <v>0.26400000000000001</v>
      </c>
      <c r="U76" s="117">
        <v>0.317</v>
      </c>
      <c r="V76" s="47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</row>
    <row r="77" spans="1:219" x14ac:dyDescent="0.35">
      <c r="A77" s="1"/>
      <c r="B77" s="4"/>
      <c r="C77" s="40"/>
      <c r="D77" s="20" t="s">
        <v>142</v>
      </c>
      <c r="E77" s="20" t="s">
        <v>95</v>
      </c>
      <c r="F77" s="20" t="s">
        <v>95</v>
      </c>
      <c r="G77" s="20" t="s">
        <v>95</v>
      </c>
      <c r="H77" s="20" t="s">
        <v>95</v>
      </c>
      <c r="I77" s="20" t="s">
        <v>88</v>
      </c>
      <c r="J77" s="20" t="s">
        <v>95</v>
      </c>
      <c r="K77" s="20" t="s">
        <v>88</v>
      </c>
      <c r="L77" s="20" t="s">
        <v>94</v>
      </c>
      <c r="M77" s="20" t="s">
        <v>95</v>
      </c>
      <c r="N77" s="20" t="s">
        <v>284</v>
      </c>
      <c r="O77" s="20" t="s">
        <v>124</v>
      </c>
      <c r="P77" s="20" t="s">
        <v>125</v>
      </c>
      <c r="Q77" s="20" t="s">
        <v>127</v>
      </c>
      <c r="R77" s="20" t="s">
        <v>295</v>
      </c>
      <c r="S77" s="118">
        <v>0.56000000000000005</v>
      </c>
      <c r="T77" s="118">
        <v>0.44400000000000001</v>
      </c>
      <c r="U77" s="118">
        <v>0.32</v>
      </c>
      <c r="V77" s="47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</row>
    <row r="78" spans="1:219" x14ac:dyDescent="0.35">
      <c r="A78" s="1"/>
      <c r="B78" s="4"/>
      <c r="C78" s="40"/>
      <c r="D78" s="19" t="s">
        <v>145</v>
      </c>
      <c r="E78" s="19" t="s">
        <v>95</v>
      </c>
      <c r="F78" s="19" t="s">
        <v>95</v>
      </c>
      <c r="G78" s="19" t="s">
        <v>95</v>
      </c>
      <c r="H78" s="19" t="s">
        <v>95</v>
      </c>
      <c r="I78" s="19" t="s">
        <v>88</v>
      </c>
      <c r="J78" s="19" t="s">
        <v>95</v>
      </c>
      <c r="K78" s="19" t="s">
        <v>88</v>
      </c>
      <c r="L78" s="19" t="s">
        <v>94</v>
      </c>
      <c r="M78" s="19" t="s">
        <v>95</v>
      </c>
      <c r="N78" s="19" t="s">
        <v>284</v>
      </c>
      <c r="O78" s="19" t="s">
        <v>124</v>
      </c>
      <c r="P78" s="19" t="s">
        <v>125</v>
      </c>
      <c r="Q78" s="19" t="s">
        <v>127</v>
      </c>
      <c r="R78" s="19" t="s">
        <v>296</v>
      </c>
      <c r="S78" s="117">
        <v>0.40799999999999997</v>
      </c>
      <c r="T78" s="117">
        <v>0.35</v>
      </c>
      <c r="U78" s="117">
        <v>0.309</v>
      </c>
      <c r="V78" s="47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</row>
    <row r="79" spans="1:219" x14ac:dyDescent="0.35">
      <c r="A79" s="1"/>
      <c r="B79" s="4"/>
      <c r="C79" s="40"/>
      <c r="D79" s="20" t="s">
        <v>146</v>
      </c>
      <c r="E79" s="20" t="s">
        <v>95</v>
      </c>
      <c r="F79" s="20" t="s">
        <v>95</v>
      </c>
      <c r="G79" s="20" t="s">
        <v>95</v>
      </c>
      <c r="H79" s="20" t="s">
        <v>95</v>
      </c>
      <c r="I79" s="20" t="s">
        <v>88</v>
      </c>
      <c r="J79" s="20" t="s">
        <v>95</v>
      </c>
      <c r="K79" s="20" t="s">
        <v>88</v>
      </c>
      <c r="L79" s="20" t="s">
        <v>94</v>
      </c>
      <c r="M79" s="20" t="s">
        <v>95</v>
      </c>
      <c r="N79" s="20" t="s">
        <v>284</v>
      </c>
      <c r="O79" s="20" t="s">
        <v>124</v>
      </c>
      <c r="P79" s="20" t="s">
        <v>125</v>
      </c>
      <c r="Q79" s="20" t="s">
        <v>127</v>
      </c>
      <c r="R79" s="20" t="s">
        <v>297</v>
      </c>
      <c r="S79" s="118">
        <v>0.39700000000000002</v>
      </c>
      <c r="T79" s="118">
        <v>0.246</v>
      </c>
      <c r="U79" s="118">
        <v>0.33700000000000002</v>
      </c>
      <c r="V79" s="47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</row>
    <row r="80" spans="1:219" x14ac:dyDescent="0.35">
      <c r="A80" s="1"/>
      <c r="B80" s="4"/>
      <c r="C80" s="40"/>
      <c r="D80" s="19" t="s">
        <v>147</v>
      </c>
      <c r="E80" s="19" t="s">
        <v>95</v>
      </c>
      <c r="F80" s="19" t="s">
        <v>95</v>
      </c>
      <c r="G80" s="19" t="s">
        <v>95</v>
      </c>
      <c r="H80" s="19" t="s">
        <v>95</v>
      </c>
      <c r="I80" s="19" t="s">
        <v>88</v>
      </c>
      <c r="J80" s="19" t="s">
        <v>95</v>
      </c>
      <c r="K80" s="19" t="s">
        <v>88</v>
      </c>
      <c r="L80" s="19" t="s">
        <v>94</v>
      </c>
      <c r="M80" s="19" t="s">
        <v>95</v>
      </c>
      <c r="N80" s="19" t="s">
        <v>284</v>
      </c>
      <c r="O80" s="19" t="s">
        <v>124</v>
      </c>
      <c r="P80" s="19" t="s">
        <v>125</v>
      </c>
      <c r="Q80" s="19" t="s">
        <v>127</v>
      </c>
      <c r="R80" s="19" t="s">
        <v>298</v>
      </c>
      <c r="S80" s="117">
        <v>0.39900000000000002</v>
      </c>
      <c r="T80" s="117">
        <v>0.34200000000000003</v>
      </c>
      <c r="U80" s="117">
        <v>0.32700000000000001</v>
      </c>
      <c r="V80" s="47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</row>
    <row r="81" spans="1:219" x14ac:dyDescent="0.35">
      <c r="A81" s="1"/>
      <c r="B81" s="4"/>
      <c r="C81" s="40"/>
      <c r="D81" s="20" t="s">
        <v>148</v>
      </c>
      <c r="E81" s="20" t="s">
        <v>95</v>
      </c>
      <c r="F81" s="20" t="s">
        <v>95</v>
      </c>
      <c r="G81" s="20" t="s">
        <v>95</v>
      </c>
      <c r="H81" s="20" t="s">
        <v>95</v>
      </c>
      <c r="I81" s="20" t="s">
        <v>88</v>
      </c>
      <c r="J81" s="20" t="s">
        <v>95</v>
      </c>
      <c r="K81" s="20" t="s">
        <v>88</v>
      </c>
      <c r="L81" s="20" t="s">
        <v>94</v>
      </c>
      <c r="M81" s="20" t="s">
        <v>95</v>
      </c>
      <c r="N81" s="20" t="s">
        <v>284</v>
      </c>
      <c r="O81" s="20" t="s">
        <v>124</v>
      </c>
      <c r="P81" s="20" t="s">
        <v>125</v>
      </c>
      <c r="Q81" s="20" t="s">
        <v>127</v>
      </c>
      <c r="R81" s="20" t="s">
        <v>299</v>
      </c>
      <c r="S81" s="118">
        <v>0.42199999999999999</v>
      </c>
      <c r="T81" s="118">
        <v>0.312</v>
      </c>
      <c r="U81" s="118">
        <v>0.372</v>
      </c>
      <c r="V81" s="47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</row>
    <row r="82" spans="1:219" x14ac:dyDescent="0.35">
      <c r="A82" s="1"/>
      <c r="B82" s="4"/>
      <c r="C82" s="40"/>
      <c r="D82" s="19" t="s">
        <v>149</v>
      </c>
      <c r="E82" s="19" t="s">
        <v>95</v>
      </c>
      <c r="F82" s="19" t="s">
        <v>95</v>
      </c>
      <c r="G82" s="19" t="s">
        <v>95</v>
      </c>
      <c r="H82" s="19" t="s">
        <v>95</v>
      </c>
      <c r="I82" s="19" t="s">
        <v>88</v>
      </c>
      <c r="J82" s="19" t="s">
        <v>95</v>
      </c>
      <c r="K82" s="19" t="s">
        <v>88</v>
      </c>
      <c r="L82" s="19" t="s">
        <v>94</v>
      </c>
      <c r="M82" s="19" t="s">
        <v>95</v>
      </c>
      <c r="N82" s="19" t="s">
        <v>284</v>
      </c>
      <c r="O82" s="19" t="s">
        <v>124</v>
      </c>
      <c r="P82" s="19" t="s">
        <v>125</v>
      </c>
      <c r="Q82" s="19" t="s">
        <v>127</v>
      </c>
      <c r="R82" s="19" t="s">
        <v>300</v>
      </c>
      <c r="S82" s="117">
        <v>0.42199999999999999</v>
      </c>
      <c r="T82" s="117">
        <v>0.36799999999999999</v>
      </c>
      <c r="U82" s="117">
        <v>0.28899999999999998</v>
      </c>
      <c r="V82" s="47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</row>
    <row r="83" spans="1:219" x14ac:dyDescent="0.35">
      <c r="A83" s="1"/>
      <c r="B83" s="4"/>
      <c r="C83" s="40"/>
      <c r="D83" s="20" t="s">
        <v>150</v>
      </c>
      <c r="E83" s="20" t="s">
        <v>95</v>
      </c>
      <c r="F83" s="20" t="s">
        <v>95</v>
      </c>
      <c r="G83" s="20" t="s">
        <v>95</v>
      </c>
      <c r="H83" s="20" t="s">
        <v>95</v>
      </c>
      <c r="I83" s="20" t="s">
        <v>88</v>
      </c>
      <c r="J83" s="20" t="s">
        <v>95</v>
      </c>
      <c r="K83" s="20" t="s">
        <v>88</v>
      </c>
      <c r="L83" s="20" t="s">
        <v>94</v>
      </c>
      <c r="M83" s="20" t="s">
        <v>95</v>
      </c>
      <c r="N83" s="20" t="s">
        <v>284</v>
      </c>
      <c r="O83" s="20" t="s">
        <v>124</v>
      </c>
      <c r="P83" s="20" t="s">
        <v>125</v>
      </c>
      <c r="Q83" s="20" t="s">
        <v>127</v>
      </c>
      <c r="R83" s="20" t="s">
        <v>301</v>
      </c>
      <c r="S83" s="118">
        <v>0.40400000000000003</v>
      </c>
      <c r="T83" s="118">
        <v>0.39400000000000002</v>
      </c>
      <c r="U83" s="118">
        <v>0.28999999999999998</v>
      </c>
      <c r="V83" s="47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</row>
    <row r="84" spans="1:219" x14ac:dyDescent="0.35">
      <c r="A84" s="1"/>
      <c r="B84" s="4"/>
      <c r="C84" s="40"/>
      <c r="D84" s="19" t="s">
        <v>151</v>
      </c>
      <c r="E84" s="19" t="s">
        <v>95</v>
      </c>
      <c r="F84" s="19" t="s">
        <v>95</v>
      </c>
      <c r="G84" s="19" t="s">
        <v>95</v>
      </c>
      <c r="H84" s="19" t="s">
        <v>95</v>
      </c>
      <c r="I84" s="19" t="s">
        <v>88</v>
      </c>
      <c r="J84" s="19" t="s">
        <v>95</v>
      </c>
      <c r="K84" s="19" t="s">
        <v>88</v>
      </c>
      <c r="L84" s="19" t="s">
        <v>94</v>
      </c>
      <c r="M84" s="19" t="s">
        <v>95</v>
      </c>
      <c r="N84" s="19" t="s">
        <v>284</v>
      </c>
      <c r="O84" s="19" t="s">
        <v>124</v>
      </c>
      <c r="P84" s="19" t="s">
        <v>125</v>
      </c>
      <c r="Q84" s="19" t="s">
        <v>127</v>
      </c>
      <c r="R84" s="19" t="s">
        <v>302</v>
      </c>
      <c r="S84" s="117">
        <v>0.49099999999999999</v>
      </c>
      <c r="T84" s="117">
        <v>0.40400000000000003</v>
      </c>
      <c r="U84" s="117">
        <v>0.34399999999999997</v>
      </c>
      <c r="V84" s="47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</row>
    <row r="85" spans="1:219" x14ac:dyDescent="0.35">
      <c r="A85" s="1"/>
      <c r="B85" s="4"/>
      <c r="C85" s="40"/>
      <c r="D85" s="20" t="s">
        <v>152</v>
      </c>
      <c r="E85" s="20" t="s">
        <v>95</v>
      </c>
      <c r="F85" s="20" t="s">
        <v>95</v>
      </c>
      <c r="G85" s="20" t="s">
        <v>95</v>
      </c>
      <c r="H85" s="20" t="s">
        <v>95</v>
      </c>
      <c r="I85" s="20" t="s">
        <v>88</v>
      </c>
      <c r="J85" s="20" t="s">
        <v>95</v>
      </c>
      <c r="K85" s="20" t="s">
        <v>88</v>
      </c>
      <c r="L85" s="20" t="s">
        <v>94</v>
      </c>
      <c r="M85" s="20" t="s">
        <v>95</v>
      </c>
      <c r="N85" s="20" t="s">
        <v>284</v>
      </c>
      <c r="O85" s="20" t="s">
        <v>124</v>
      </c>
      <c r="P85" s="20" t="s">
        <v>125</v>
      </c>
      <c r="Q85" s="20" t="s">
        <v>127</v>
      </c>
      <c r="R85" s="20" t="s">
        <v>303</v>
      </c>
      <c r="S85" s="118">
        <v>0.432</v>
      </c>
      <c r="T85" s="118">
        <v>0.34899999999999998</v>
      </c>
      <c r="U85" s="118">
        <v>0.313</v>
      </c>
      <c r="V85" s="47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</row>
    <row r="86" spans="1:219" x14ac:dyDescent="0.35">
      <c r="A86" s="1"/>
      <c r="B86" s="4"/>
      <c r="C86" s="40"/>
      <c r="D86" s="19" t="s">
        <v>153</v>
      </c>
      <c r="E86" s="19" t="s">
        <v>95</v>
      </c>
      <c r="F86" s="19" t="s">
        <v>95</v>
      </c>
      <c r="G86" s="19" t="s">
        <v>95</v>
      </c>
      <c r="H86" s="19" t="s">
        <v>95</v>
      </c>
      <c r="I86" s="19" t="s">
        <v>88</v>
      </c>
      <c r="J86" s="19" t="s">
        <v>95</v>
      </c>
      <c r="K86" s="19" t="s">
        <v>88</v>
      </c>
      <c r="L86" s="19" t="s">
        <v>94</v>
      </c>
      <c r="M86" s="19" t="s">
        <v>95</v>
      </c>
      <c r="N86" s="19" t="s">
        <v>284</v>
      </c>
      <c r="O86" s="19" t="s">
        <v>124</v>
      </c>
      <c r="P86" s="19" t="s">
        <v>125</v>
      </c>
      <c r="Q86" s="19" t="s">
        <v>127</v>
      </c>
      <c r="R86" s="19" t="s">
        <v>304</v>
      </c>
      <c r="S86" s="117">
        <v>0.42199999999999999</v>
      </c>
      <c r="T86" s="117">
        <v>0.377</v>
      </c>
      <c r="U86" s="117">
        <v>0.27600000000000002</v>
      </c>
      <c r="V86" s="47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</row>
    <row r="87" spans="1:219" x14ac:dyDescent="0.35">
      <c r="A87" s="1"/>
      <c r="B87" s="4"/>
      <c r="C87" s="40"/>
      <c r="D87" s="20" t="s">
        <v>154</v>
      </c>
      <c r="E87" s="20" t="s">
        <v>95</v>
      </c>
      <c r="F87" s="20" t="s">
        <v>95</v>
      </c>
      <c r="G87" s="20" t="s">
        <v>95</v>
      </c>
      <c r="H87" s="20" t="s">
        <v>95</v>
      </c>
      <c r="I87" s="20" t="s">
        <v>88</v>
      </c>
      <c r="J87" s="20" t="s">
        <v>95</v>
      </c>
      <c r="K87" s="20" t="s">
        <v>88</v>
      </c>
      <c r="L87" s="20" t="s">
        <v>94</v>
      </c>
      <c r="M87" s="20" t="s">
        <v>95</v>
      </c>
      <c r="N87" s="20" t="s">
        <v>284</v>
      </c>
      <c r="O87" s="20" t="s">
        <v>124</v>
      </c>
      <c r="P87" s="20" t="s">
        <v>125</v>
      </c>
      <c r="Q87" s="20" t="s">
        <v>127</v>
      </c>
      <c r="R87" s="20" t="s">
        <v>305</v>
      </c>
      <c r="S87" s="118">
        <v>0.41599999999999998</v>
      </c>
      <c r="T87" s="118">
        <v>0.40699999999999997</v>
      </c>
      <c r="U87" s="118">
        <v>0.29499999999999998</v>
      </c>
      <c r="V87" s="47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</row>
    <row r="88" spans="1:219" x14ac:dyDescent="0.35">
      <c r="A88" s="1"/>
      <c r="B88" s="4"/>
      <c r="C88" s="40"/>
      <c r="D88" s="19" t="s">
        <v>155</v>
      </c>
      <c r="E88" s="19" t="s">
        <v>95</v>
      </c>
      <c r="F88" s="19" t="s">
        <v>95</v>
      </c>
      <c r="G88" s="19" t="s">
        <v>95</v>
      </c>
      <c r="H88" s="19" t="s">
        <v>95</v>
      </c>
      <c r="I88" s="19" t="s">
        <v>88</v>
      </c>
      <c r="J88" s="19" t="s">
        <v>95</v>
      </c>
      <c r="K88" s="19" t="s">
        <v>88</v>
      </c>
      <c r="L88" s="19" t="s">
        <v>94</v>
      </c>
      <c r="M88" s="19" t="s">
        <v>95</v>
      </c>
      <c r="N88" s="19" t="s">
        <v>284</v>
      </c>
      <c r="O88" s="19" t="s">
        <v>124</v>
      </c>
      <c r="P88" s="19" t="s">
        <v>125</v>
      </c>
      <c r="Q88" s="19" t="s">
        <v>127</v>
      </c>
      <c r="R88" s="19" t="s">
        <v>306</v>
      </c>
      <c r="S88" s="117">
        <v>0.42</v>
      </c>
      <c r="T88" s="117">
        <v>0.40799999999999997</v>
      </c>
      <c r="U88" s="117">
        <v>0.313</v>
      </c>
      <c r="V88" s="47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</row>
    <row r="89" spans="1:219" x14ac:dyDescent="0.35">
      <c r="A89" s="1"/>
      <c r="B89" s="4"/>
      <c r="C89" s="40"/>
      <c r="D89" s="20" t="s">
        <v>156</v>
      </c>
      <c r="E89" s="20" t="s">
        <v>95</v>
      </c>
      <c r="F89" s="20" t="s">
        <v>95</v>
      </c>
      <c r="G89" s="20" t="s">
        <v>95</v>
      </c>
      <c r="H89" s="20" t="s">
        <v>95</v>
      </c>
      <c r="I89" s="20" t="s">
        <v>88</v>
      </c>
      <c r="J89" s="20" t="s">
        <v>95</v>
      </c>
      <c r="K89" s="20" t="s">
        <v>88</v>
      </c>
      <c r="L89" s="20" t="s">
        <v>94</v>
      </c>
      <c r="M89" s="20" t="s">
        <v>95</v>
      </c>
      <c r="N89" s="20" t="s">
        <v>284</v>
      </c>
      <c r="O89" s="20" t="s">
        <v>124</v>
      </c>
      <c r="P89" s="20" t="s">
        <v>125</v>
      </c>
      <c r="Q89" s="20" t="s">
        <v>127</v>
      </c>
      <c r="R89" s="20" t="s">
        <v>307</v>
      </c>
      <c r="S89" s="118">
        <v>0.42499999999999999</v>
      </c>
      <c r="T89" s="118">
        <v>0.374</v>
      </c>
      <c r="U89" s="118">
        <v>0.313</v>
      </c>
      <c r="V89" s="47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</row>
    <row r="90" spans="1:219" x14ac:dyDescent="0.35">
      <c r="A90" s="1"/>
      <c r="B90" s="4"/>
      <c r="C90" s="40"/>
      <c r="D90" s="19" t="s">
        <v>157</v>
      </c>
      <c r="E90" s="19" t="s">
        <v>95</v>
      </c>
      <c r="F90" s="19" t="s">
        <v>95</v>
      </c>
      <c r="G90" s="19" t="s">
        <v>95</v>
      </c>
      <c r="H90" s="19" t="s">
        <v>95</v>
      </c>
      <c r="I90" s="19" t="s">
        <v>88</v>
      </c>
      <c r="J90" s="19" t="s">
        <v>95</v>
      </c>
      <c r="K90" s="19" t="s">
        <v>88</v>
      </c>
      <c r="L90" s="19" t="s">
        <v>94</v>
      </c>
      <c r="M90" s="19" t="s">
        <v>95</v>
      </c>
      <c r="N90" s="19" t="s">
        <v>284</v>
      </c>
      <c r="O90" s="19" t="s">
        <v>124</v>
      </c>
      <c r="P90" s="19" t="s">
        <v>125</v>
      </c>
      <c r="Q90" s="19" t="s">
        <v>127</v>
      </c>
      <c r="R90" s="19" t="s">
        <v>300</v>
      </c>
      <c r="S90" s="117">
        <v>0.42199999999999999</v>
      </c>
      <c r="T90" s="117">
        <v>0.36799999999999999</v>
      </c>
      <c r="U90" s="117">
        <v>0.28899999999999998</v>
      </c>
      <c r="V90" s="47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</row>
    <row r="91" spans="1:219" x14ac:dyDescent="0.35">
      <c r="A91" s="1"/>
      <c r="B91" s="4"/>
      <c r="C91" s="40"/>
      <c r="D91" s="20" t="s">
        <v>158</v>
      </c>
      <c r="E91" s="20" t="s">
        <v>95</v>
      </c>
      <c r="F91" s="20" t="s">
        <v>95</v>
      </c>
      <c r="G91" s="20" t="s">
        <v>95</v>
      </c>
      <c r="H91" s="20" t="s">
        <v>95</v>
      </c>
      <c r="I91" s="20" t="s">
        <v>88</v>
      </c>
      <c r="J91" s="20" t="s">
        <v>95</v>
      </c>
      <c r="K91" s="20" t="s">
        <v>88</v>
      </c>
      <c r="L91" s="20" t="s">
        <v>94</v>
      </c>
      <c r="M91" s="20" t="s">
        <v>95</v>
      </c>
      <c r="N91" s="20" t="s">
        <v>284</v>
      </c>
      <c r="O91" s="20" t="s">
        <v>124</v>
      </c>
      <c r="P91" s="20" t="s">
        <v>125</v>
      </c>
      <c r="Q91" s="20" t="s">
        <v>127</v>
      </c>
      <c r="R91" s="20" t="s">
        <v>308</v>
      </c>
      <c r="S91" s="118">
        <v>0.41799999999999998</v>
      </c>
      <c r="T91" s="118">
        <v>0.31</v>
      </c>
      <c r="U91" s="118">
        <v>0.318</v>
      </c>
      <c r="V91" s="47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</row>
    <row r="92" spans="1:219" x14ac:dyDescent="0.35">
      <c r="A92" s="1"/>
      <c r="B92" s="4"/>
      <c r="C92" s="40"/>
      <c r="D92" s="19" t="s">
        <v>159</v>
      </c>
      <c r="E92" s="19" t="s">
        <v>95</v>
      </c>
      <c r="F92" s="19" t="s">
        <v>95</v>
      </c>
      <c r="G92" s="19" t="s">
        <v>95</v>
      </c>
      <c r="H92" s="19" t="s">
        <v>95</v>
      </c>
      <c r="I92" s="19" t="s">
        <v>88</v>
      </c>
      <c r="J92" s="19" t="s">
        <v>95</v>
      </c>
      <c r="K92" s="19" t="s">
        <v>88</v>
      </c>
      <c r="L92" s="19" t="s">
        <v>94</v>
      </c>
      <c r="M92" s="19" t="s">
        <v>95</v>
      </c>
      <c r="N92" s="19" t="s">
        <v>284</v>
      </c>
      <c r="O92" s="19" t="s">
        <v>124</v>
      </c>
      <c r="P92" s="19" t="s">
        <v>125</v>
      </c>
      <c r="Q92" s="19" t="s">
        <v>127</v>
      </c>
      <c r="R92" s="19" t="s">
        <v>309</v>
      </c>
      <c r="S92" s="117">
        <v>0.42299999999999999</v>
      </c>
      <c r="T92" s="117">
        <v>0.35099999999999998</v>
      </c>
      <c r="U92" s="117">
        <v>0.307</v>
      </c>
      <c r="V92" s="47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</row>
    <row r="93" spans="1:219" x14ac:dyDescent="0.35">
      <c r="A93" s="1"/>
      <c r="B93" s="4"/>
      <c r="C93" s="40"/>
      <c r="D93" s="20" t="s">
        <v>160</v>
      </c>
      <c r="E93" s="20" t="s">
        <v>95</v>
      </c>
      <c r="F93" s="20" t="s">
        <v>95</v>
      </c>
      <c r="G93" s="20" t="s">
        <v>95</v>
      </c>
      <c r="H93" s="20" t="s">
        <v>95</v>
      </c>
      <c r="I93" s="20" t="s">
        <v>88</v>
      </c>
      <c r="J93" s="20" t="s">
        <v>95</v>
      </c>
      <c r="K93" s="20" t="s">
        <v>88</v>
      </c>
      <c r="L93" s="20" t="s">
        <v>94</v>
      </c>
      <c r="M93" s="20" t="s">
        <v>95</v>
      </c>
      <c r="N93" s="20" t="s">
        <v>284</v>
      </c>
      <c r="O93" s="20" t="s">
        <v>124</v>
      </c>
      <c r="P93" s="20" t="s">
        <v>125</v>
      </c>
      <c r="Q93" s="20" t="s">
        <v>127</v>
      </c>
      <c r="R93" s="20" t="s">
        <v>310</v>
      </c>
      <c r="S93" s="118">
        <v>0.41299999999999998</v>
      </c>
      <c r="T93" s="118">
        <v>0.46</v>
      </c>
      <c r="U93" s="118">
        <v>0.32800000000000001</v>
      </c>
      <c r="V93" s="47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</row>
    <row r="94" spans="1:219" x14ac:dyDescent="0.35">
      <c r="A94" s="1"/>
      <c r="B94" s="4"/>
      <c r="C94" s="40"/>
      <c r="D94" s="19" t="s">
        <v>161</v>
      </c>
      <c r="E94" s="19" t="s">
        <v>95</v>
      </c>
      <c r="F94" s="19" t="s">
        <v>95</v>
      </c>
      <c r="G94" s="19" t="s">
        <v>95</v>
      </c>
      <c r="H94" s="19" t="s">
        <v>95</v>
      </c>
      <c r="I94" s="19" t="s">
        <v>88</v>
      </c>
      <c r="J94" s="19" t="s">
        <v>95</v>
      </c>
      <c r="K94" s="19" t="s">
        <v>88</v>
      </c>
      <c r="L94" s="19" t="s">
        <v>94</v>
      </c>
      <c r="M94" s="19" t="s">
        <v>95</v>
      </c>
      <c r="N94" s="19" t="s">
        <v>284</v>
      </c>
      <c r="O94" s="19" t="s">
        <v>124</v>
      </c>
      <c r="P94" s="19" t="s">
        <v>125</v>
      </c>
      <c r="Q94" s="19" t="s">
        <v>127</v>
      </c>
      <c r="R94" s="19" t="s">
        <v>311</v>
      </c>
      <c r="S94" s="117">
        <v>0.434</v>
      </c>
      <c r="T94" s="117">
        <v>0.31</v>
      </c>
      <c r="U94" s="117">
        <v>0.28899999999999998</v>
      </c>
      <c r="V94" s="41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</row>
    <row r="95" spans="1:219" x14ac:dyDescent="0.35">
      <c r="A95" s="1"/>
      <c r="B95" s="4"/>
      <c r="C95" s="40"/>
      <c r="D95" s="20" t="s">
        <v>162</v>
      </c>
      <c r="E95" s="20" t="s">
        <v>95</v>
      </c>
      <c r="F95" s="20" t="s">
        <v>95</v>
      </c>
      <c r="G95" s="20" t="s">
        <v>95</v>
      </c>
      <c r="H95" s="20" t="s">
        <v>95</v>
      </c>
      <c r="I95" s="20" t="s">
        <v>88</v>
      </c>
      <c r="J95" s="20" t="s">
        <v>95</v>
      </c>
      <c r="K95" s="20" t="s">
        <v>88</v>
      </c>
      <c r="L95" s="20" t="s">
        <v>94</v>
      </c>
      <c r="M95" s="20" t="s">
        <v>95</v>
      </c>
      <c r="N95" s="20" t="s">
        <v>284</v>
      </c>
      <c r="O95" s="20" t="s">
        <v>124</v>
      </c>
      <c r="P95" s="20" t="s">
        <v>125</v>
      </c>
      <c r="Q95" s="20" t="s">
        <v>127</v>
      </c>
      <c r="R95" s="20" t="s">
        <v>312</v>
      </c>
      <c r="S95" s="118">
        <v>0.41599999999999998</v>
      </c>
      <c r="T95" s="118">
        <v>0.48199999999999998</v>
      </c>
      <c r="U95" s="118">
        <v>0.36899999999999999</v>
      </c>
      <c r="V95" s="41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</row>
    <row r="96" spans="1:219" x14ac:dyDescent="0.35">
      <c r="A96" s="1"/>
      <c r="B96" s="4"/>
      <c r="C96" s="40"/>
      <c r="D96" s="19" t="s">
        <v>163</v>
      </c>
      <c r="E96" s="19" t="s">
        <v>95</v>
      </c>
      <c r="F96" s="19" t="s">
        <v>95</v>
      </c>
      <c r="G96" s="19" t="s">
        <v>95</v>
      </c>
      <c r="H96" s="19" t="s">
        <v>95</v>
      </c>
      <c r="I96" s="19" t="s">
        <v>88</v>
      </c>
      <c r="J96" s="19" t="s">
        <v>95</v>
      </c>
      <c r="K96" s="19" t="s">
        <v>88</v>
      </c>
      <c r="L96" s="19" t="s">
        <v>94</v>
      </c>
      <c r="M96" s="19" t="s">
        <v>95</v>
      </c>
      <c r="N96" s="19" t="s">
        <v>284</v>
      </c>
      <c r="O96" s="19" t="s">
        <v>124</v>
      </c>
      <c r="P96" s="19" t="s">
        <v>125</v>
      </c>
      <c r="Q96" s="19" t="s">
        <v>127</v>
      </c>
      <c r="R96" s="81" t="s">
        <v>313</v>
      </c>
      <c r="S96" s="117">
        <v>0.42199999999999999</v>
      </c>
      <c r="T96" s="117">
        <v>0.371</v>
      </c>
      <c r="U96" s="117">
        <v>0.28499999999999998</v>
      </c>
      <c r="V96" s="41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</row>
    <row r="97" spans="1:218" x14ac:dyDescent="0.35">
      <c r="A97" s="1"/>
      <c r="B97" s="4"/>
      <c r="C97" s="40"/>
      <c r="D97" s="20" t="s">
        <v>164</v>
      </c>
      <c r="E97" s="20" t="s">
        <v>95</v>
      </c>
      <c r="F97" s="20" t="s">
        <v>95</v>
      </c>
      <c r="G97" s="20" t="s">
        <v>95</v>
      </c>
      <c r="H97" s="20" t="s">
        <v>95</v>
      </c>
      <c r="I97" s="20" t="s">
        <v>88</v>
      </c>
      <c r="J97" s="20" t="s">
        <v>95</v>
      </c>
      <c r="K97" s="20" t="s">
        <v>88</v>
      </c>
      <c r="L97" s="20" t="s">
        <v>94</v>
      </c>
      <c r="M97" s="20" t="s">
        <v>95</v>
      </c>
      <c r="N97" s="20" t="s">
        <v>284</v>
      </c>
      <c r="O97" s="20" t="s">
        <v>124</v>
      </c>
      <c r="P97" s="20" t="s">
        <v>125</v>
      </c>
      <c r="Q97" s="20" t="s">
        <v>127</v>
      </c>
      <c r="R97" s="82" t="s">
        <v>314</v>
      </c>
      <c r="S97" s="118">
        <v>0.41899999999999998</v>
      </c>
      <c r="T97" s="118">
        <v>0.371</v>
      </c>
      <c r="U97" s="118">
        <v>0.376</v>
      </c>
      <c r="V97" s="41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</row>
    <row r="98" spans="1:218" ht="15" thickBot="1" x14ac:dyDescent="0.4">
      <c r="A98" s="1"/>
      <c r="B98" s="4"/>
      <c r="C98" s="40"/>
      <c r="D98" s="19" t="s">
        <v>165</v>
      </c>
      <c r="E98" s="19" t="s">
        <v>95</v>
      </c>
      <c r="F98" s="19" t="s">
        <v>95</v>
      </c>
      <c r="G98" s="19" t="s">
        <v>95</v>
      </c>
      <c r="H98" s="19" t="s">
        <v>95</v>
      </c>
      <c r="I98" s="19" t="s">
        <v>88</v>
      </c>
      <c r="J98" s="19" t="s">
        <v>95</v>
      </c>
      <c r="K98" s="19" t="s">
        <v>88</v>
      </c>
      <c r="L98" s="19" t="s">
        <v>94</v>
      </c>
      <c r="M98" s="19" t="s">
        <v>95</v>
      </c>
      <c r="N98" s="19" t="s">
        <v>284</v>
      </c>
      <c r="O98" s="19" t="s">
        <v>124</v>
      </c>
      <c r="P98" s="19" t="s">
        <v>125</v>
      </c>
      <c r="Q98" s="19" t="s">
        <v>127</v>
      </c>
      <c r="R98" s="81" t="s">
        <v>315</v>
      </c>
      <c r="S98" s="117">
        <v>0.42899999999999999</v>
      </c>
      <c r="T98" s="117">
        <v>0.33700000000000002</v>
      </c>
      <c r="U98" s="117">
        <v>0.29199999999999998</v>
      </c>
      <c r="V98" s="41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</row>
    <row r="99" spans="1:218" x14ac:dyDescent="0.35">
      <c r="A99" s="1"/>
      <c r="B99" s="4"/>
      <c r="C99" s="46"/>
      <c r="D99" s="7" t="s">
        <v>170</v>
      </c>
      <c r="E99" s="7" t="s">
        <v>95</v>
      </c>
      <c r="F99" s="7" t="s">
        <v>95</v>
      </c>
      <c r="G99" s="7" t="s">
        <v>95</v>
      </c>
      <c r="H99" s="7" t="s">
        <v>95</v>
      </c>
      <c r="I99" s="7" t="s">
        <v>88</v>
      </c>
      <c r="J99" s="7" t="s">
        <v>95</v>
      </c>
      <c r="K99" s="7" t="s">
        <v>88</v>
      </c>
      <c r="L99" s="7" t="s">
        <v>94</v>
      </c>
      <c r="M99" s="7" t="s">
        <v>95</v>
      </c>
      <c r="N99" s="7" t="s">
        <v>284</v>
      </c>
      <c r="O99" s="7" t="s">
        <v>124</v>
      </c>
      <c r="P99" s="7" t="s">
        <v>316</v>
      </c>
      <c r="Q99" s="39" t="s">
        <v>169</v>
      </c>
      <c r="R99" s="96" t="s">
        <v>113</v>
      </c>
      <c r="S99" s="119">
        <v>0.39500000000000002</v>
      </c>
      <c r="T99" s="119">
        <v>0.31900000000000001</v>
      </c>
      <c r="U99" s="119">
        <v>0.35</v>
      </c>
      <c r="V99" s="97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</row>
    <row r="100" spans="1:218" x14ac:dyDescent="0.35">
      <c r="A100" s="1"/>
      <c r="B100" s="4"/>
      <c r="C100" s="24" t="s">
        <v>166</v>
      </c>
      <c r="D100" s="11" t="s">
        <v>171</v>
      </c>
      <c r="E100" s="11" t="s">
        <v>95</v>
      </c>
      <c r="F100" s="11" t="s">
        <v>95</v>
      </c>
      <c r="G100" s="11" t="s">
        <v>95</v>
      </c>
      <c r="H100" s="11" t="s">
        <v>95</v>
      </c>
      <c r="I100" s="11" t="s">
        <v>88</v>
      </c>
      <c r="J100" s="11" t="s">
        <v>95</v>
      </c>
      <c r="K100" s="11" t="s">
        <v>88</v>
      </c>
      <c r="L100" s="11" t="s">
        <v>94</v>
      </c>
      <c r="M100" s="11" t="s">
        <v>95</v>
      </c>
      <c r="N100" s="11" t="s">
        <v>284</v>
      </c>
      <c r="O100" s="11" t="s">
        <v>124</v>
      </c>
      <c r="P100" s="11" t="s">
        <v>316</v>
      </c>
      <c r="Q100" s="11" t="s">
        <v>107</v>
      </c>
      <c r="R100" s="77" t="s">
        <v>287</v>
      </c>
      <c r="S100" s="105">
        <v>0.28899999999999998</v>
      </c>
      <c r="T100" s="105">
        <v>0.20599999999999999</v>
      </c>
      <c r="U100" s="105">
        <v>0.30599999999999999</v>
      </c>
      <c r="V100" s="30" t="s">
        <v>196</v>
      </c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</row>
    <row r="101" spans="1:218" x14ac:dyDescent="0.35">
      <c r="A101" s="1"/>
      <c r="B101" s="4"/>
      <c r="C101" s="24"/>
      <c r="D101" s="12" t="s">
        <v>172</v>
      </c>
      <c r="E101" s="12" t="s">
        <v>95</v>
      </c>
      <c r="F101" s="12" t="s">
        <v>95</v>
      </c>
      <c r="G101" s="12" t="s">
        <v>95</v>
      </c>
      <c r="H101" s="12" t="s">
        <v>95</v>
      </c>
      <c r="I101" s="12" t="s">
        <v>88</v>
      </c>
      <c r="J101" s="12" t="s">
        <v>95</v>
      </c>
      <c r="K101" s="12" t="s">
        <v>88</v>
      </c>
      <c r="L101" s="12" t="s">
        <v>94</v>
      </c>
      <c r="M101" s="12" t="s">
        <v>95</v>
      </c>
      <c r="N101" s="12" t="s">
        <v>284</v>
      </c>
      <c r="O101" s="12" t="s">
        <v>124</v>
      </c>
      <c r="P101" s="12" t="s">
        <v>316</v>
      </c>
      <c r="Q101" s="21" t="s">
        <v>90</v>
      </c>
      <c r="R101" s="76" t="s">
        <v>277</v>
      </c>
      <c r="S101" s="104">
        <v>0.43</v>
      </c>
      <c r="T101" s="104">
        <v>0.371</v>
      </c>
      <c r="U101" s="104">
        <v>0.26900000000000002</v>
      </c>
      <c r="V101" s="30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</row>
    <row r="102" spans="1:218" x14ac:dyDescent="0.35">
      <c r="A102" s="1"/>
      <c r="B102" s="4"/>
      <c r="C102" s="24" t="s">
        <v>167</v>
      </c>
      <c r="D102" s="11" t="s">
        <v>173</v>
      </c>
      <c r="E102" s="11" t="s">
        <v>95</v>
      </c>
      <c r="F102" s="11" t="s">
        <v>95</v>
      </c>
      <c r="G102" s="11" t="s">
        <v>95</v>
      </c>
      <c r="H102" s="11" t="s">
        <v>95</v>
      </c>
      <c r="I102" s="11" t="s">
        <v>88</v>
      </c>
      <c r="J102" s="11" t="s">
        <v>95</v>
      </c>
      <c r="K102" s="11" t="s">
        <v>88</v>
      </c>
      <c r="L102" s="11" t="s">
        <v>94</v>
      </c>
      <c r="M102" s="11" t="s">
        <v>95</v>
      </c>
      <c r="N102" s="11" t="s">
        <v>284</v>
      </c>
      <c r="O102" s="11" t="s">
        <v>124</v>
      </c>
      <c r="P102" s="11" t="s">
        <v>316</v>
      </c>
      <c r="Q102" s="11" t="s">
        <v>108</v>
      </c>
      <c r="R102" s="77" t="s">
        <v>285</v>
      </c>
      <c r="S102" s="105">
        <v>0.32500000000000001</v>
      </c>
      <c r="T102" s="105">
        <v>0.252</v>
      </c>
      <c r="U102" s="105">
        <v>0.33900000000000002</v>
      </c>
      <c r="V102" s="30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</row>
    <row r="103" spans="1:218" x14ac:dyDescent="0.35">
      <c r="A103" s="1"/>
      <c r="B103" s="4"/>
      <c r="C103" s="24" t="s">
        <v>168</v>
      </c>
      <c r="D103" s="12" t="s">
        <v>174</v>
      </c>
      <c r="E103" s="12" t="s">
        <v>95</v>
      </c>
      <c r="F103" s="12" t="s">
        <v>95</v>
      </c>
      <c r="G103" s="12" t="s">
        <v>95</v>
      </c>
      <c r="H103" s="12" t="s">
        <v>95</v>
      </c>
      <c r="I103" s="12" t="s">
        <v>88</v>
      </c>
      <c r="J103" s="12" t="s">
        <v>95</v>
      </c>
      <c r="K103" s="12" t="s">
        <v>88</v>
      </c>
      <c r="L103" s="12" t="s">
        <v>94</v>
      </c>
      <c r="M103" s="12" t="s">
        <v>95</v>
      </c>
      <c r="N103" s="12" t="s">
        <v>284</v>
      </c>
      <c r="O103" s="12" t="s">
        <v>124</v>
      </c>
      <c r="P103" s="12" t="s">
        <v>316</v>
      </c>
      <c r="Q103" s="21" t="s">
        <v>178</v>
      </c>
      <c r="R103" s="76" t="s">
        <v>279</v>
      </c>
      <c r="S103" s="104">
        <v>0.372</v>
      </c>
      <c r="T103" s="104">
        <v>0.29499999999999998</v>
      </c>
      <c r="U103" s="104">
        <v>0.34100000000000003</v>
      </c>
      <c r="V103" s="30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</row>
    <row r="104" spans="1:218" x14ac:dyDescent="0.35">
      <c r="A104" s="1"/>
      <c r="B104" s="4"/>
      <c r="C104" s="24"/>
      <c r="D104" s="11" t="s">
        <v>175</v>
      </c>
      <c r="E104" s="11" t="s">
        <v>95</v>
      </c>
      <c r="F104" s="11" t="s">
        <v>95</v>
      </c>
      <c r="G104" s="11" t="s">
        <v>95</v>
      </c>
      <c r="H104" s="11" t="s">
        <v>95</v>
      </c>
      <c r="I104" s="11" t="s">
        <v>88</v>
      </c>
      <c r="J104" s="11" t="s">
        <v>95</v>
      </c>
      <c r="K104" s="11" t="s">
        <v>88</v>
      </c>
      <c r="L104" s="11" t="s">
        <v>94</v>
      </c>
      <c r="M104" s="11" t="s">
        <v>95</v>
      </c>
      <c r="N104" s="11" t="s">
        <v>284</v>
      </c>
      <c r="O104" s="11" t="s">
        <v>124</v>
      </c>
      <c r="P104" s="11" t="s">
        <v>316</v>
      </c>
      <c r="Q104" s="11" t="s">
        <v>91</v>
      </c>
      <c r="R104" s="77" t="s">
        <v>281</v>
      </c>
      <c r="S104" s="105">
        <v>0.377</v>
      </c>
      <c r="T104" s="105">
        <v>0.28100000000000003</v>
      </c>
      <c r="U104" s="105">
        <v>0.26500000000000001</v>
      </c>
      <c r="V104" s="30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</row>
    <row r="105" spans="1:218" x14ac:dyDescent="0.35">
      <c r="A105" s="1"/>
      <c r="B105" s="4"/>
      <c r="C105" s="24"/>
      <c r="D105" s="12" t="s">
        <v>176</v>
      </c>
      <c r="E105" s="12" t="s">
        <v>95</v>
      </c>
      <c r="F105" s="12" t="s">
        <v>95</v>
      </c>
      <c r="G105" s="12" t="s">
        <v>95</v>
      </c>
      <c r="H105" s="12" t="s">
        <v>95</v>
      </c>
      <c r="I105" s="12" t="s">
        <v>88</v>
      </c>
      <c r="J105" s="12" t="s">
        <v>95</v>
      </c>
      <c r="K105" s="12" t="s">
        <v>88</v>
      </c>
      <c r="L105" s="12" t="s">
        <v>94</v>
      </c>
      <c r="M105" s="12" t="s">
        <v>95</v>
      </c>
      <c r="N105" s="12" t="s">
        <v>284</v>
      </c>
      <c r="O105" s="12" t="s">
        <v>124</v>
      </c>
      <c r="P105" s="12" t="s">
        <v>316</v>
      </c>
      <c r="Q105" s="21" t="s">
        <v>110</v>
      </c>
      <c r="R105" s="76" t="s">
        <v>115</v>
      </c>
      <c r="S105" s="104">
        <v>0.40200000000000002</v>
      </c>
      <c r="T105" s="104">
        <v>0.33100000000000002</v>
      </c>
      <c r="U105" s="104">
        <v>0.29499999999999998</v>
      </c>
      <c r="V105" s="30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</row>
    <row r="106" spans="1:218" ht="15" thickBot="1" x14ac:dyDescent="0.4">
      <c r="A106" s="1"/>
      <c r="B106" s="4"/>
      <c r="C106" s="24"/>
      <c r="D106" s="11" t="s">
        <v>177</v>
      </c>
      <c r="E106" s="11" t="s">
        <v>95</v>
      </c>
      <c r="F106" s="11" t="s">
        <v>95</v>
      </c>
      <c r="G106" s="11" t="s">
        <v>95</v>
      </c>
      <c r="H106" s="11" t="s">
        <v>95</v>
      </c>
      <c r="I106" s="11" t="s">
        <v>88</v>
      </c>
      <c r="J106" s="11" t="s">
        <v>95</v>
      </c>
      <c r="K106" s="11" t="s">
        <v>88</v>
      </c>
      <c r="L106" s="11" t="s">
        <v>94</v>
      </c>
      <c r="M106" s="11" t="s">
        <v>95</v>
      </c>
      <c r="N106" s="11" t="s">
        <v>284</v>
      </c>
      <c r="O106" s="11" t="s">
        <v>124</v>
      </c>
      <c r="P106" s="11" t="s">
        <v>316</v>
      </c>
      <c r="Q106" s="11" t="s">
        <v>127</v>
      </c>
      <c r="R106" s="77" t="s">
        <v>317</v>
      </c>
      <c r="S106" s="105">
        <v>0.30099999999999999</v>
      </c>
      <c r="T106" s="105">
        <v>0.3</v>
      </c>
      <c r="U106" s="105">
        <v>0.26300000000000001</v>
      </c>
      <c r="V106" s="30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</row>
    <row r="107" spans="1:218" x14ac:dyDescent="0.35">
      <c r="A107" s="1"/>
      <c r="B107" s="4"/>
      <c r="C107" s="33" t="s">
        <v>179</v>
      </c>
      <c r="D107" s="8" t="s">
        <v>183</v>
      </c>
      <c r="E107" s="8" t="s">
        <v>95</v>
      </c>
      <c r="F107" s="8" t="s">
        <v>95</v>
      </c>
      <c r="G107" s="8" t="s">
        <v>95</v>
      </c>
      <c r="H107" s="8" t="s">
        <v>95</v>
      </c>
      <c r="I107" s="8" t="s">
        <v>88</v>
      </c>
      <c r="J107" s="8" t="s">
        <v>95</v>
      </c>
      <c r="K107" s="8" t="s">
        <v>88</v>
      </c>
      <c r="L107" s="8" t="s">
        <v>94</v>
      </c>
      <c r="M107" s="8" t="s">
        <v>95</v>
      </c>
      <c r="N107" s="8" t="s">
        <v>318</v>
      </c>
      <c r="O107" s="8" t="s">
        <v>124</v>
      </c>
      <c r="P107" s="8" t="s">
        <v>182</v>
      </c>
      <c r="Q107" s="8" t="s">
        <v>127</v>
      </c>
      <c r="R107" s="78" t="s">
        <v>305</v>
      </c>
      <c r="S107" s="107">
        <v>0.41799999999999998</v>
      </c>
      <c r="T107" s="107">
        <v>0.36799999999999999</v>
      </c>
      <c r="U107" s="107">
        <v>0.34799999999999998</v>
      </c>
      <c r="V107" s="3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</row>
    <row r="108" spans="1:218" x14ac:dyDescent="0.35">
      <c r="A108" s="1"/>
      <c r="B108" s="4"/>
      <c r="C108" s="25"/>
      <c r="D108" s="14" t="s">
        <v>184</v>
      </c>
      <c r="E108" s="14" t="s">
        <v>95</v>
      </c>
      <c r="F108" s="14" t="s">
        <v>95</v>
      </c>
      <c r="G108" s="14" t="s">
        <v>95</v>
      </c>
      <c r="H108" s="14" t="s">
        <v>95</v>
      </c>
      <c r="I108" s="14" t="s">
        <v>88</v>
      </c>
      <c r="J108" s="14" t="s">
        <v>95</v>
      </c>
      <c r="K108" s="14" t="s">
        <v>88</v>
      </c>
      <c r="L108" s="14" t="s">
        <v>94</v>
      </c>
      <c r="M108" s="14" t="s">
        <v>95</v>
      </c>
      <c r="N108" s="14" t="s">
        <v>318</v>
      </c>
      <c r="O108" s="14" t="s">
        <v>124</v>
      </c>
      <c r="P108" s="14" t="s">
        <v>185</v>
      </c>
      <c r="Q108" s="14" t="s">
        <v>127</v>
      </c>
      <c r="R108" s="79" t="s">
        <v>319</v>
      </c>
      <c r="S108" s="108">
        <v>0.40100000000000002</v>
      </c>
      <c r="T108" s="108">
        <v>0.24099999999999999</v>
      </c>
      <c r="U108" s="108">
        <v>0.28599999999999998</v>
      </c>
      <c r="V108" s="26" t="s">
        <v>197</v>
      </c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</row>
    <row r="109" spans="1:218" x14ac:dyDescent="0.35">
      <c r="A109" s="1"/>
      <c r="B109" s="4"/>
      <c r="C109" s="25" t="s">
        <v>180</v>
      </c>
      <c r="D109" s="13" t="s">
        <v>186</v>
      </c>
      <c r="E109" s="13" t="s">
        <v>95</v>
      </c>
      <c r="F109" s="13" t="s">
        <v>95</v>
      </c>
      <c r="G109" s="13" t="s">
        <v>95</v>
      </c>
      <c r="H109" s="13" t="s">
        <v>95</v>
      </c>
      <c r="I109" s="13" t="s">
        <v>88</v>
      </c>
      <c r="J109" s="13" t="s">
        <v>95</v>
      </c>
      <c r="K109" s="13" t="s">
        <v>88</v>
      </c>
      <c r="L109" s="13" t="s">
        <v>94</v>
      </c>
      <c r="M109" s="13" t="s">
        <v>95</v>
      </c>
      <c r="N109" s="13" t="s">
        <v>318</v>
      </c>
      <c r="O109" s="13" t="s">
        <v>124</v>
      </c>
      <c r="P109" s="13" t="s">
        <v>187</v>
      </c>
      <c r="Q109" s="13" t="s">
        <v>127</v>
      </c>
      <c r="R109" s="80" t="s">
        <v>320</v>
      </c>
      <c r="S109" s="109">
        <v>0.42699999999999999</v>
      </c>
      <c r="T109" s="109">
        <v>0.38</v>
      </c>
      <c r="U109" s="109">
        <v>0.33800000000000002</v>
      </c>
      <c r="V109" s="26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</row>
    <row r="110" spans="1:218" x14ac:dyDescent="0.35">
      <c r="A110" s="1"/>
      <c r="B110" s="4"/>
      <c r="C110" s="25" t="s">
        <v>181</v>
      </c>
      <c r="D110" s="14" t="s">
        <v>188</v>
      </c>
      <c r="E110" s="14" t="s">
        <v>95</v>
      </c>
      <c r="F110" s="14" t="s">
        <v>95</v>
      </c>
      <c r="G110" s="14" t="s">
        <v>95</v>
      </c>
      <c r="H110" s="14" t="s">
        <v>95</v>
      </c>
      <c r="I110" s="14" t="s">
        <v>88</v>
      </c>
      <c r="J110" s="14" t="s">
        <v>95</v>
      </c>
      <c r="K110" s="14" t="s">
        <v>88</v>
      </c>
      <c r="L110" s="14" t="s">
        <v>94</v>
      </c>
      <c r="M110" s="14" t="s">
        <v>95</v>
      </c>
      <c r="N110" s="14" t="s">
        <v>318</v>
      </c>
      <c r="O110" s="14" t="s">
        <v>124</v>
      </c>
      <c r="P110" s="14" t="s">
        <v>187</v>
      </c>
      <c r="Q110" s="14" t="s">
        <v>127</v>
      </c>
      <c r="R110" s="79" t="s">
        <v>321</v>
      </c>
      <c r="S110" s="108">
        <v>0.42599999999999999</v>
      </c>
      <c r="T110" s="108">
        <v>0.39600000000000002</v>
      </c>
      <c r="U110" s="108">
        <v>0.34499999999999997</v>
      </c>
      <c r="V110" s="26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</row>
    <row r="111" spans="1:218" x14ac:dyDescent="0.35">
      <c r="A111" s="1"/>
      <c r="B111" s="4"/>
      <c r="C111" s="25" t="s">
        <v>4</v>
      </c>
      <c r="D111" s="13" t="s">
        <v>189</v>
      </c>
      <c r="E111" s="13" t="s">
        <v>95</v>
      </c>
      <c r="F111" s="13" t="s">
        <v>95</v>
      </c>
      <c r="G111" s="13" t="s">
        <v>95</v>
      </c>
      <c r="H111" s="13" t="s">
        <v>95</v>
      </c>
      <c r="I111" s="13" t="s">
        <v>88</v>
      </c>
      <c r="J111" s="13" t="s">
        <v>95</v>
      </c>
      <c r="K111" s="13" t="s">
        <v>88</v>
      </c>
      <c r="L111" s="13" t="s">
        <v>94</v>
      </c>
      <c r="M111" s="13" t="s">
        <v>95</v>
      </c>
      <c r="N111" s="13" t="s">
        <v>318</v>
      </c>
      <c r="O111" s="13" t="s">
        <v>124</v>
      </c>
      <c r="P111" s="13" t="s">
        <v>187</v>
      </c>
      <c r="Q111" s="13" t="s">
        <v>127</v>
      </c>
      <c r="R111" s="80" t="s">
        <v>322</v>
      </c>
      <c r="S111" s="109">
        <v>0.43</v>
      </c>
      <c r="T111" s="109">
        <v>0.29099999999999998</v>
      </c>
      <c r="U111" s="109">
        <v>0.32900000000000001</v>
      </c>
      <c r="V111" s="26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</row>
    <row r="112" spans="1:218" x14ac:dyDescent="0.35">
      <c r="A112" s="1"/>
      <c r="B112" s="4"/>
      <c r="C112" s="25" t="s">
        <v>131</v>
      </c>
      <c r="D112" s="14" t="s">
        <v>190</v>
      </c>
      <c r="E112" s="14" t="s">
        <v>95</v>
      </c>
      <c r="F112" s="14" t="s">
        <v>95</v>
      </c>
      <c r="G112" s="14" t="s">
        <v>95</v>
      </c>
      <c r="H112" s="14" t="s">
        <v>95</v>
      </c>
      <c r="I112" s="14" t="s">
        <v>88</v>
      </c>
      <c r="J112" s="14" t="s">
        <v>95</v>
      </c>
      <c r="K112" s="14" t="s">
        <v>88</v>
      </c>
      <c r="L112" s="14" t="s">
        <v>94</v>
      </c>
      <c r="M112" s="14" t="s">
        <v>95</v>
      </c>
      <c r="N112" s="14" t="s">
        <v>318</v>
      </c>
      <c r="O112" s="14" t="s">
        <v>124</v>
      </c>
      <c r="P112" s="14" t="s">
        <v>187</v>
      </c>
      <c r="Q112" s="14" t="s">
        <v>127</v>
      </c>
      <c r="R112" s="79" t="s">
        <v>323</v>
      </c>
      <c r="S112" s="108">
        <v>0.41799999999999998</v>
      </c>
      <c r="T112" s="108">
        <v>0.39400000000000002</v>
      </c>
      <c r="U112" s="108">
        <v>0.314</v>
      </c>
      <c r="V112" s="26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</row>
    <row r="113" spans="1:218" x14ac:dyDescent="0.35">
      <c r="A113" s="1"/>
      <c r="B113" s="4"/>
      <c r="C113" s="25" t="s">
        <v>29</v>
      </c>
      <c r="D113" s="13" t="s">
        <v>191</v>
      </c>
      <c r="E113" s="13" t="s">
        <v>95</v>
      </c>
      <c r="F113" s="13" t="s">
        <v>95</v>
      </c>
      <c r="G113" s="13" t="s">
        <v>95</v>
      </c>
      <c r="H113" s="13" t="s">
        <v>95</v>
      </c>
      <c r="I113" s="13" t="s">
        <v>88</v>
      </c>
      <c r="J113" s="13" t="s">
        <v>95</v>
      </c>
      <c r="K113" s="13" t="s">
        <v>88</v>
      </c>
      <c r="L113" s="13" t="s">
        <v>94</v>
      </c>
      <c r="M113" s="13" t="s">
        <v>95</v>
      </c>
      <c r="N113" s="13" t="s">
        <v>318</v>
      </c>
      <c r="O113" s="13" t="s">
        <v>124</v>
      </c>
      <c r="P113" s="13" t="s">
        <v>187</v>
      </c>
      <c r="Q113" s="13" t="s">
        <v>127</v>
      </c>
      <c r="R113" s="80" t="s">
        <v>324</v>
      </c>
      <c r="S113" s="109">
        <v>0.42099999999999999</v>
      </c>
      <c r="T113" s="109">
        <v>0.42</v>
      </c>
      <c r="U113" s="109">
        <v>0.35299999999999998</v>
      </c>
      <c r="V113" s="26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</row>
    <row r="114" spans="1:218" x14ac:dyDescent="0.35">
      <c r="A114" s="1"/>
      <c r="B114" s="4"/>
      <c r="C114" s="25"/>
      <c r="D114" s="14" t="s">
        <v>192</v>
      </c>
      <c r="E114" s="14" t="s">
        <v>95</v>
      </c>
      <c r="F114" s="14" t="s">
        <v>95</v>
      </c>
      <c r="G114" s="14" t="s">
        <v>95</v>
      </c>
      <c r="H114" s="14" t="s">
        <v>95</v>
      </c>
      <c r="I114" s="14" t="s">
        <v>88</v>
      </c>
      <c r="J114" s="14" t="s">
        <v>95</v>
      </c>
      <c r="K114" s="14" t="s">
        <v>88</v>
      </c>
      <c r="L114" s="14" t="s">
        <v>94</v>
      </c>
      <c r="M114" s="14" t="s">
        <v>95</v>
      </c>
      <c r="N114" s="14" t="s">
        <v>318</v>
      </c>
      <c r="O114" s="14" t="s">
        <v>124</v>
      </c>
      <c r="P114" s="14" t="s">
        <v>187</v>
      </c>
      <c r="Q114" s="14" t="s">
        <v>127</v>
      </c>
      <c r="R114" s="79" t="s">
        <v>325</v>
      </c>
      <c r="S114" s="108">
        <v>0.504</v>
      </c>
      <c r="T114" s="108">
        <v>0.42399999999999999</v>
      </c>
      <c r="U114" s="108">
        <v>0.38200000000000001</v>
      </c>
      <c r="V114" s="26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</row>
    <row r="115" spans="1:218" x14ac:dyDescent="0.35">
      <c r="A115" s="1"/>
      <c r="B115" s="4"/>
      <c r="C115" s="25"/>
      <c r="D115" s="13" t="s">
        <v>193</v>
      </c>
      <c r="E115" s="13" t="s">
        <v>95</v>
      </c>
      <c r="F115" s="13" t="s">
        <v>95</v>
      </c>
      <c r="G115" s="13" t="s">
        <v>95</v>
      </c>
      <c r="H115" s="13" t="s">
        <v>95</v>
      </c>
      <c r="I115" s="13" t="s">
        <v>88</v>
      </c>
      <c r="J115" s="13" t="s">
        <v>95</v>
      </c>
      <c r="K115" s="13" t="s">
        <v>88</v>
      </c>
      <c r="L115" s="13" t="s">
        <v>94</v>
      </c>
      <c r="M115" s="13" t="s">
        <v>95</v>
      </c>
      <c r="N115" s="13" t="s">
        <v>318</v>
      </c>
      <c r="O115" s="13" t="s">
        <v>124</v>
      </c>
      <c r="P115" s="13" t="s">
        <v>187</v>
      </c>
      <c r="Q115" s="13" t="s">
        <v>127</v>
      </c>
      <c r="R115" s="80" t="s">
        <v>326</v>
      </c>
      <c r="S115" s="109">
        <v>0.45100000000000001</v>
      </c>
      <c r="T115" s="109">
        <v>0.40500000000000003</v>
      </c>
      <c r="U115" s="109">
        <v>0.26500000000000001</v>
      </c>
      <c r="V115" s="26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</row>
    <row r="116" spans="1:218" x14ac:dyDescent="0.35">
      <c r="A116" s="1"/>
      <c r="B116" s="4"/>
      <c r="C116" s="25"/>
      <c r="D116" s="14" t="s">
        <v>194</v>
      </c>
      <c r="E116" s="14" t="s">
        <v>95</v>
      </c>
      <c r="F116" s="14" t="s">
        <v>95</v>
      </c>
      <c r="G116" s="14" t="s">
        <v>95</v>
      </c>
      <c r="H116" s="14" t="s">
        <v>95</v>
      </c>
      <c r="I116" s="14" t="s">
        <v>88</v>
      </c>
      <c r="J116" s="14" t="s">
        <v>95</v>
      </c>
      <c r="K116" s="14" t="s">
        <v>88</v>
      </c>
      <c r="L116" s="14" t="s">
        <v>94</v>
      </c>
      <c r="M116" s="14" t="s">
        <v>95</v>
      </c>
      <c r="N116" s="14" t="s">
        <v>318</v>
      </c>
      <c r="O116" s="14" t="s">
        <v>124</v>
      </c>
      <c r="P116" s="14" t="s">
        <v>187</v>
      </c>
      <c r="Q116" s="14" t="s">
        <v>127</v>
      </c>
      <c r="R116" s="79" t="s">
        <v>327</v>
      </c>
      <c r="S116" s="108">
        <v>0.42899999999999999</v>
      </c>
      <c r="T116" s="108">
        <v>0.376</v>
      </c>
      <c r="U116" s="108">
        <v>0.32700000000000001</v>
      </c>
      <c r="V116" s="26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</row>
    <row r="117" spans="1:218" x14ac:dyDescent="0.35">
      <c r="A117" s="1"/>
      <c r="B117" s="4"/>
      <c r="C117" s="60"/>
      <c r="D117" s="48" t="s">
        <v>198</v>
      </c>
      <c r="E117" s="48" t="s">
        <v>95</v>
      </c>
      <c r="F117" s="48" t="s">
        <v>95</v>
      </c>
      <c r="G117" s="48" t="s">
        <v>95</v>
      </c>
      <c r="H117" s="48" t="s">
        <v>95</v>
      </c>
      <c r="I117" s="48" t="s">
        <v>88</v>
      </c>
      <c r="J117" s="48" t="s">
        <v>95</v>
      </c>
      <c r="K117" s="48" t="s">
        <v>88</v>
      </c>
      <c r="L117" s="48" t="s">
        <v>94</v>
      </c>
      <c r="M117" s="48" t="s">
        <v>95</v>
      </c>
      <c r="N117" s="48" t="s">
        <v>318</v>
      </c>
      <c r="O117" s="48" t="s">
        <v>124</v>
      </c>
      <c r="P117" s="48" t="s">
        <v>187</v>
      </c>
      <c r="Q117" s="48" t="s">
        <v>127</v>
      </c>
      <c r="R117" s="80" t="s">
        <v>328</v>
      </c>
      <c r="S117" s="109">
        <v>0.441</v>
      </c>
      <c r="T117" s="109">
        <v>0.40100000000000002</v>
      </c>
      <c r="U117" s="109">
        <v>0.36499999999999999</v>
      </c>
      <c r="V117" s="26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</row>
    <row r="118" spans="1:218" x14ac:dyDescent="0.35">
      <c r="A118" s="1"/>
      <c r="B118" s="4"/>
      <c r="C118" s="60"/>
      <c r="D118" s="49" t="s">
        <v>199</v>
      </c>
      <c r="E118" s="49" t="s">
        <v>95</v>
      </c>
      <c r="F118" s="49" t="s">
        <v>95</v>
      </c>
      <c r="G118" s="49" t="s">
        <v>95</v>
      </c>
      <c r="H118" s="49" t="s">
        <v>95</v>
      </c>
      <c r="I118" s="49" t="s">
        <v>88</v>
      </c>
      <c r="J118" s="49" t="s">
        <v>95</v>
      </c>
      <c r="K118" s="49" t="s">
        <v>88</v>
      </c>
      <c r="L118" s="49" t="s">
        <v>94</v>
      </c>
      <c r="M118" s="49" t="s">
        <v>95</v>
      </c>
      <c r="N118" s="49" t="s">
        <v>318</v>
      </c>
      <c r="O118" s="49" t="s">
        <v>124</v>
      </c>
      <c r="P118" s="49" t="s">
        <v>187</v>
      </c>
      <c r="Q118" s="49" t="s">
        <v>127</v>
      </c>
      <c r="R118" s="79" t="s">
        <v>329</v>
      </c>
      <c r="S118" s="108">
        <v>0.42899999999999999</v>
      </c>
      <c r="T118" s="108">
        <v>0.35099999999999998</v>
      </c>
      <c r="U118" s="108">
        <v>0.35099999999999998</v>
      </c>
      <c r="V118" s="26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</row>
    <row r="119" spans="1:218" x14ac:dyDescent="0.35">
      <c r="A119" s="1"/>
      <c r="B119" s="4"/>
      <c r="C119" s="60"/>
      <c r="D119" s="48" t="s">
        <v>200</v>
      </c>
      <c r="E119" s="48" t="s">
        <v>95</v>
      </c>
      <c r="F119" s="48" t="s">
        <v>95</v>
      </c>
      <c r="G119" s="48" t="s">
        <v>95</v>
      </c>
      <c r="H119" s="48" t="s">
        <v>95</v>
      </c>
      <c r="I119" s="48" t="s">
        <v>88</v>
      </c>
      <c r="J119" s="48" t="s">
        <v>95</v>
      </c>
      <c r="K119" s="48" t="s">
        <v>88</v>
      </c>
      <c r="L119" s="48" t="s">
        <v>94</v>
      </c>
      <c r="M119" s="48" t="s">
        <v>95</v>
      </c>
      <c r="N119" s="48" t="s">
        <v>318</v>
      </c>
      <c r="O119" s="48" t="s">
        <v>124</v>
      </c>
      <c r="P119" s="48" t="s">
        <v>187</v>
      </c>
      <c r="Q119" s="48" t="s">
        <v>127</v>
      </c>
      <c r="R119" s="80" t="s">
        <v>330</v>
      </c>
      <c r="S119" s="109">
        <v>0.42799999999999999</v>
      </c>
      <c r="T119" s="109">
        <v>0.375</v>
      </c>
      <c r="U119" s="109">
        <v>0.35899999999999999</v>
      </c>
      <c r="V119" s="26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</row>
    <row r="120" spans="1:218" x14ac:dyDescent="0.35">
      <c r="A120" s="1"/>
      <c r="B120" s="4"/>
      <c r="C120" s="60"/>
      <c r="D120" s="49" t="s">
        <v>201</v>
      </c>
      <c r="E120" s="49" t="s">
        <v>95</v>
      </c>
      <c r="F120" s="49" t="s">
        <v>95</v>
      </c>
      <c r="G120" s="49" t="s">
        <v>95</v>
      </c>
      <c r="H120" s="49" t="s">
        <v>95</v>
      </c>
      <c r="I120" s="49" t="s">
        <v>88</v>
      </c>
      <c r="J120" s="49" t="s">
        <v>95</v>
      </c>
      <c r="K120" s="49" t="s">
        <v>88</v>
      </c>
      <c r="L120" s="49" t="s">
        <v>94</v>
      </c>
      <c r="M120" s="49" t="s">
        <v>95</v>
      </c>
      <c r="N120" s="49" t="s">
        <v>318</v>
      </c>
      <c r="O120" s="49" t="s">
        <v>124</v>
      </c>
      <c r="P120" s="49" t="s">
        <v>187</v>
      </c>
      <c r="Q120" s="49" t="s">
        <v>127</v>
      </c>
      <c r="R120" s="79" t="s">
        <v>331</v>
      </c>
      <c r="S120" s="108">
        <v>0.42599999999999999</v>
      </c>
      <c r="T120" s="108">
        <v>0.43</v>
      </c>
      <c r="U120" s="108">
        <v>0.32300000000000001</v>
      </c>
      <c r="V120" s="26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</row>
    <row r="121" spans="1:218" x14ac:dyDescent="0.35">
      <c r="A121" s="1"/>
      <c r="B121" s="4"/>
      <c r="C121" s="60"/>
      <c r="D121" s="48" t="s">
        <v>202</v>
      </c>
      <c r="E121" s="48" t="s">
        <v>95</v>
      </c>
      <c r="F121" s="48" t="s">
        <v>95</v>
      </c>
      <c r="G121" s="48" t="s">
        <v>95</v>
      </c>
      <c r="H121" s="48" t="s">
        <v>95</v>
      </c>
      <c r="I121" s="48" t="s">
        <v>88</v>
      </c>
      <c r="J121" s="48" t="s">
        <v>95</v>
      </c>
      <c r="K121" s="48" t="s">
        <v>88</v>
      </c>
      <c r="L121" s="48" t="s">
        <v>94</v>
      </c>
      <c r="M121" s="48" t="s">
        <v>95</v>
      </c>
      <c r="N121" s="48" t="s">
        <v>318</v>
      </c>
      <c r="O121" s="48" t="s">
        <v>124</v>
      </c>
      <c r="P121" s="48" t="s">
        <v>187</v>
      </c>
      <c r="Q121" s="48" t="s">
        <v>127</v>
      </c>
      <c r="R121" s="83" t="s">
        <v>332</v>
      </c>
      <c r="S121" s="109">
        <v>0.434</v>
      </c>
      <c r="T121" s="109">
        <v>0.374</v>
      </c>
      <c r="U121" s="109">
        <v>0.34300000000000003</v>
      </c>
      <c r="V121" s="60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</row>
    <row r="122" spans="1:218" x14ac:dyDescent="0.35">
      <c r="A122" s="1"/>
      <c r="B122" s="4"/>
      <c r="C122" s="60"/>
      <c r="D122" s="49" t="s">
        <v>203</v>
      </c>
      <c r="E122" s="49" t="s">
        <v>95</v>
      </c>
      <c r="F122" s="49" t="s">
        <v>95</v>
      </c>
      <c r="G122" s="49" t="s">
        <v>95</v>
      </c>
      <c r="H122" s="49" t="s">
        <v>95</v>
      </c>
      <c r="I122" s="49" t="s">
        <v>88</v>
      </c>
      <c r="J122" s="49" t="s">
        <v>95</v>
      </c>
      <c r="K122" s="49" t="s">
        <v>88</v>
      </c>
      <c r="L122" s="49" t="s">
        <v>94</v>
      </c>
      <c r="M122" s="49" t="s">
        <v>95</v>
      </c>
      <c r="N122" s="49" t="s">
        <v>318</v>
      </c>
      <c r="O122" s="49" t="s">
        <v>124</v>
      </c>
      <c r="P122" s="49" t="s">
        <v>187</v>
      </c>
      <c r="Q122" s="49" t="s">
        <v>127</v>
      </c>
      <c r="R122" s="49" t="s">
        <v>333</v>
      </c>
      <c r="S122" s="108">
        <v>0.45200000000000001</v>
      </c>
      <c r="T122" s="108">
        <v>0.45600000000000002</v>
      </c>
      <c r="U122" s="108">
        <v>0.33600000000000002</v>
      </c>
      <c r="V122" s="60" t="s">
        <v>268</v>
      </c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</row>
    <row r="123" spans="1:218" x14ac:dyDescent="0.35">
      <c r="A123" s="1"/>
      <c r="B123" s="4"/>
      <c r="C123" s="60"/>
      <c r="D123" s="48" t="s">
        <v>204</v>
      </c>
      <c r="E123" s="48" t="s">
        <v>95</v>
      </c>
      <c r="F123" s="48" t="s">
        <v>95</v>
      </c>
      <c r="G123" s="48" t="s">
        <v>95</v>
      </c>
      <c r="H123" s="48" t="s">
        <v>95</v>
      </c>
      <c r="I123" s="48" t="s">
        <v>88</v>
      </c>
      <c r="J123" s="48" t="s">
        <v>95</v>
      </c>
      <c r="K123" s="48" t="s">
        <v>88</v>
      </c>
      <c r="L123" s="48" t="s">
        <v>94</v>
      </c>
      <c r="M123" s="48" t="s">
        <v>95</v>
      </c>
      <c r="N123" s="13" t="s">
        <v>318</v>
      </c>
      <c r="O123" s="48" t="s">
        <v>124</v>
      </c>
      <c r="P123" s="48" t="s">
        <v>187</v>
      </c>
      <c r="Q123" s="48" t="s">
        <v>127</v>
      </c>
      <c r="R123" s="48" t="s">
        <v>334</v>
      </c>
      <c r="S123" s="109">
        <v>0.45500000000000002</v>
      </c>
      <c r="T123" s="109">
        <v>0.378</v>
      </c>
      <c r="U123" s="109">
        <v>0.36699999999999999</v>
      </c>
      <c r="V123" s="60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</row>
    <row r="124" spans="1:218" x14ac:dyDescent="0.35">
      <c r="A124" s="1"/>
      <c r="B124" s="4"/>
      <c r="C124" s="60"/>
      <c r="D124" s="49" t="s">
        <v>205</v>
      </c>
      <c r="E124" s="49" t="s">
        <v>95</v>
      </c>
      <c r="F124" s="49" t="s">
        <v>95</v>
      </c>
      <c r="G124" s="49" t="s">
        <v>95</v>
      </c>
      <c r="H124" s="49" t="s">
        <v>95</v>
      </c>
      <c r="I124" s="49" t="s">
        <v>88</v>
      </c>
      <c r="J124" s="49" t="s">
        <v>95</v>
      </c>
      <c r="K124" s="49" t="s">
        <v>88</v>
      </c>
      <c r="L124" s="49" t="s">
        <v>94</v>
      </c>
      <c r="M124" s="49" t="s">
        <v>95</v>
      </c>
      <c r="N124" s="14" t="s">
        <v>318</v>
      </c>
      <c r="O124" s="49" t="s">
        <v>124</v>
      </c>
      <c r="P124" s="49" t="s">
        <v>187</v>
      </c>
      <c r="Q124" s="49" t="s">
        <v>127</v>
      </c>
      <c r="R124" s="49" t="s">
        <v>335</v>
      </c>
      <c r="S124" s="108">
        <v>0.46899999999999997</v>
      </c>
      <c r="T124" s="108">
        <v>0.34</v>
      </c>
      <c r="U124" s="108">
        <v>0.318</v>
      </c>
      <c r="V124" s="60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</row>
    <row r="125" spans="1:218" x14ac:dyDescent="0.35">
      <c r="A125" s="1"/>
      <c r="B125" s="4"/>
      <c r="C125" s="60"/>
      <c r="D125" s="48" t="s">
        <v>206</v>
      </c>
      <c r="E125" s="48" t="s">
        <v>95</v>
      </c>
      <c r="F125" s="48" t="s">
        <v>95</v>
      </c>
      <c r="G125" s="48" t="s">
        <v>95</v>
      </c>
      <c r="H125" s="48" t="s">
        <v>95</v>
      </c>
      <c r="I125" s="48" t="s">
        <v>88</v>
      </c>
      <c r="J125" s="48" t="s">
        <v>95</v>
      </c>
      <c r="K125" s="48" t="s">
        <v>88</v>
      </c>
      <c r="L125" s="48" t="s">
        <v>94</v>
      </c>
      <c r="M125" s="48" t="s">
        <v>95</v>
      </c>
      <c r="N125" s="13" t="s">
        <v>318</v>
      </c>
      <c r="O125" s="48" t="s">
        <v>124</v>
      </c>
      <c r="P125" s="48" t="s">
        <v>187</v>
      </c>
      <c r="Q125" s="48" t="s">
        <v>127</v>
      </c>
      <c r="R125" s="48" t="s">
        <v>336</v>
      </c>
      <c r="S125" s="109">
        <v>0.503</v>
      </c>
      <c r="T125" s="109">
        <v>0.39600000000000002</v>
      </c>
      <c r="U125" s="109">
        <v>0.314</v>
      </c>
      <c r="V125" s="60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</row>
    <row r="126" spans="1:218" x14ac:dyDescent="0.35">
      <c r="A126" s="1"/>
      <c r="B126" s="4"/>
      <c r="C126" s="60"/>
      <c r="D126" s="49" t="s">
        <v>210</v>
      </c>
      <c r="E126" s="49" t="s">
        <v>95</v>
      </c>
      <c r="F126" s="49" t="s">
        <v>95</v>
      </c>
      <c r="G126" s="49" t="s">
        <v>95</v>
      </c>
      <c r="H126" s="49" t="s">
        <v>95</v>
      </c>
      <c r="I126" s="49" t="s">
        <v>88</v>
      </c>
      <c r="J126" s="49" t="s">
        <v>95</v>
      </c>
      <c r="K126" s="49" t="s">
        <v>88</v>
      </c>
      <c r="L126" s="49" t="s">
        <v>94</v>
      </c>
      <c r="M126" s="49" t="s">
        <v>95</v>
      </c>
      <c r="N126" s="49" t="s">
        <v>318</v>
      </c>
      <c r="O126" s="49" t="s">
        <v>124</v>
      </c>
      <c r="P126" s="49" t="s">
        <v>187</v>
      </c>
      <c r="Q126" s="49" t="s">
        <v>127</v>
      </c>
      <c r="R126" s="49" t="s">
        <v>337</v>
      </c>
      <c r="S126" s="108">
        <v>0.48099999999999998</v>
      </c>
      <c r="T126" s="108">
        <v>0.312</v>
      </c>
      <c r="U126" s="108">
        <v>0.246</v>
      </c>
      <c r="V126" s="60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</row>
    <row r="127" spans="1:218" x14ac:dyDescent="0.35">
      <c r="A127" s="1"/>
      <c r="B127" s="4"/>
      <c r="C127" s="60"/>
      <c r="D127" s="48" t="s">
        <v>211</v>
      </c>
      <c r="E127" s="48" t="s">
        <v>95</v>
      </c>
      <c r="F127" s="48" t="s">
        <v>95</v>
      </c>
      <c r="G127" s="48" t="s">
        <v>95</v>
      </c>
      <c r="H127" s="48" t="s">
        <v>95</v>
      </c>
      <c r="I127" s="48" t="s">
        <v>88</v>
      </c>
      <c r="J127" s="48" t="s">
        <v>95</v>
      </c>
      <c r="K127" s="48" t="s">
        <v>88</v>
      </c>
      <c r="L127" s="48" t="s">
        <v>94</v>
      </c>
      <c r="M127" s="48" t="s">
        <v>95</v>
      </c>
      <c r="N127" s="48" t="s">
        <v>318</v>
      </c>
      <c r="O127" s="48" t="s">
        <v>124</v>
      </c>
      <c r="P127" s="48" t="s">
        <v>187</v>
      </c>
      <c r="Q127" s="48" t="s">
        <v>127</v>
      </c>
      <c r="R127" s="48" t="s">
        <v>338</v>
      </c>
      <c r="S127" s="109">
        <v>0.52600000000000002</v>
      </c>
      <c r="T127" s="109">
        <v>0.34599999999999997</v>
      </c>
      <c r="U127" s="109">
        <v>0.38400000000000001</v>
      </c>
      <c r="V127" s="60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</row>
    <row r="128" spans="1:218" x14ac:dyDescent="0.35">
      <c r="A128" s="54"/>
      <c r="B128" s="55"/>
      <c r="C128" s="25"/>
      <c r="D128" s="49" t="s">
        <v>212</v>
      </c>
      <c r="E128" s="49" t="s">
        <v>95</v>
      </c>
      <c r="F128" s="49" t="s">
        <v>95</v>
      </c>
      <c r="G128" s="49" t="s">
        <v>95</v>
      </c>
      <c r="H128" s="49" t="s">
        <v>95</v>
      </c>
      <c r="I128" s="49" t="s">
        <v>88</v>
      </c>
      <c r="J128" s="49" t="s">
        <v>95</v>
      </c>
      <c r="K128" s="49" t="s">
        <v>88</v>
      </c>
      <c r="L128" s="49" t="s">
        <v>94</v>
      </c>
      <c r="M128" s="49" t="s">
        <v>95</v>
      </c>
      <c r="N128" s="49" t="s">
        <v>318</v>
      </c>
      <c r="O128" s="49" t="s">
        <v>124</v>
      </c>
      <c r="P128" s="49" t="s">
        <v>187</v>
      </c>
      <c r="Q128" s="49" t="s">
        <v>127</v>
      </c>
      <c r="R128" s="49" t="s">
        <v>339</v>
      </c>
      <c r="S128" s="108">
        <v>0.46800000000000003</v>
      </c>
      <c r="T128" s="108">
        <v>0.33600000000000002</v>
      </c>
      <c r="U128" s="108">
        <v>0.32900000000000001</v>
      </c>
      <c r="V128" s="60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</row>
    <row r="129" spans="1:218" x14ac:dyDescent="0.35">
      <c r="A129" s="54"/>
      <c r="B129" s="55"/>
      <c r="C129" s="25"/>
      <c r="D129" s="48" t="s">
        <v>213</v>
      </c>
      <c r="E129" s="48" t="s">
        <v>95</v>
      </c>
      <c r="F129" s="48" t="s">
        <v>95</v>
      </c>
      <c r="G129" s="48" t="s">
        <v>95</v>
      </c>
      <c r="H129" s="48" t="s">
        <v>95</v>
      </c>
      <c r="I129" s="48" t="s">
        <v>88</v>
      </c>
      <c r="J129" s="48" t="s">
        <v>95</v>
      </c>
      <c r="K129" s="48" t="s">
        <v>88</v>
      </c>
      <c r="L129" s="48" t="s">
        <v>94</v>
      </c>
      <c r="M129" s="48" t="s">
        <v>95</v>
      </c>
      <c r="N129" s="48" t="s">
        <v>318</v>
      </c>
      <c r="O129" s="48" t="s">
        <v>124</v>
      </c>
      <c r="P129" s="48" t="s">
        <v>187</v>
      </c>
      <c r="Q129" s="48" t="s">
        <v>127</v>
      </c>
      <c r="R129" s="48" t="s">
        <v>340</v>
      </c>
      <c r="S129" s="109">
        <v>0.46899999999999997</v>
      </c>
      <c r="T129" s="109">
        <v>0.39200000000000002</v>
      </c>
      <c r="U129" s="109">
        <v>0.308</v>
      </c>
      <c r="V129" s="60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</row>
    <row r="130" spans="1:218" x14ac:dyDescent="0.35">
      <c r="A130" s="54"/>
      <c r="B130" s="55"/>
      <c r="C130" s="25"/>
      <c r="D130" s="49" t="s">
        <v>214</v>
      </c>
      <c r="E130" s="49" t="s">
        <v>95</v>
      </c>
      <c r="F130" s="49" t="s">
        <v>95</v>
      </c>
      <c r="G130" s="49" t="s">
        <v>95</v>
      </c>
      <c r="H130" s="49" t="s">
        <v>95</v>
      </c>
      <c r="I130" s="49" t="s">
        <v>88</v>
      </c>
      <c r="J130" s="49" t="s">
        <v>95</v>
      </c>
      <c r="K130" s="49" t="s">
        <v>88</v>
      </c>
      <c r="L130" s="49" t="s">
        <v>94</v>
      </c>
      <c r="M130" s="49" t="s">
        <v>95</v>
      </c>
      <c r="N130" s="49" t="s">
        <v>318</v>
      </c>
      <c r="O130" s="49" t="s">
        <v>124</v>
      </c>
      <c r="P130" s="49" t="s">
        <v>187</v>
      </c>
      <c r="Q130" s="49" t="s">
        <v>127</v>
      </c>
      <c r="R130" s="49" t="s">
        <v>341</v>
      </c>
      <c r="S130" s="108">
        <v>0.48699999999999999</v>
      </c>
      <c r="T130" s="108">
        <v>0.35899999999999999</v>
      </c>
      <c r="U130" s="108">
        <v>0.30099999999999999</v>
      </c>
      <c r="V130" s="60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</row>
    <row r="131" spans="1:218" ht="15" thickBot="1" x14ac:dyDescent="0.4">
      <c r="A131" s="54"/>
      <c r="B131" s="55"/>
      <c r="C131" s="25"/>
      <c r="D131" s="48" t="s">
        <v>215</v>
      </c>
      <c r="E131" s="48" t="s">
        <v>95</v>
      </c>
      <c r="F131" s="48" t="s">
        <v>95</v>
      </c>
      <c r="G131" s="48" t="s">
        <v>95</v>
      </c>
      <c r="H131" s="48" t="s">
        <v>95</v>
      </c>
      <c r="I131" s="48" t="s">
        <v>88</v>
      </c>
      <c r="J131" s="48" t="s">
        <v>95</v>
      </c>
      <c r="K131" s="48" t="s">
        <v>88</v>
      </c>
      <c r="L131" s="48" t="s">
        <v>94</v>
      </c>
      <c r="M131" s="48" t="s">
        <v>95</v>
      </c>
      <c r="N131" s="48" t="s">
        <v>318</v>
      </c>
      <c r="O131" s="48" t="s">
        <v>124</v>
      </c>
      <c r="P131" s="48" t="s">
        <v>187</v>
      </c>
      <c r="Q131" s="48" t="s">
        <v>127</v>
      </c>
      <c r="R131" s="48" t="s">
        <v>342</v>
      </c>
      <c r="S131" s="109">
        <v>0.503</v>
      </c>
      <c r="T131" s="109">
        <v>0.371</v>
      </c>
      <c r="U131" s="109">
        <v>0.33400000000000002</v>
      </c>
      <c r="V131" s="60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</row>
    <row r="132" spans="1:218" x14ac:dyDescent="0.35">
      <c r="A132" s="54"/>
      <c r="B132" s="55"/>
      <c r="C132" s="61"/>
      <c r="D132" s="50" t="s">
        <v>216</v>
      </c>
      <c r="E132" s="50" t="s">
        <v>95</v>
      </c>
      <c r="F132" s="50" t="s">
        <v>95</v>
      </c>
      <c r="G132" s="50" t="s">
        <v>95</v>
      </c>
      <c r="H132" s="50" t="s">
        <v>95</v>
      </c>
      <c r="I132" s="50" t="s">
        <v>88</v>
      </c>
      <c r="J132" s="50" t="s">
        <v>95</v>
      </c>
      <c r="K132" s="50" t="s">
        <v>88</v>
      </c>
      <c r="L132" s="50" t="s">
        <v>94</v>
      </c>
      <c r="M132" s="50" t="s">
        <v>95</v>
      </c>
      <c r="N132" s="50" t="s">
        <v>343</v>
      </c>
      <c r="O132" s="50" t="s">
        <v>124</v>
      </c>
      <c r="P132" s="50" t="s">
        <v>187</v>
      </c>
      <c r="Q132" s="50" t="s">
        <v>127</v>
      </c>
      <c r="R132" s="50" t="s">
        <v>333</v>
      </c>
      <c r="S132" s="120">
        <v>0.55500000000000005</v>
      </c>
      <c r="T132" s="120">
        <v>0.26600000000000001</v>
      </c>
      <c r="U132" s="120">
        <v>0.27300000000000002</v>
      </c>
      <c r="V132" s="6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</row>
    <row r="133" spans="1:218" x14ac:dyDescent="0.35">
      <c r="A133" s="54"/>
      <c r="B133" s="55"/>
      <c r="C133" s="27"/>
      <c r="D133" s="51" t="s">
        <v>217</v>
      </c>
      <c r="E133" s="51" t="s">
        <v>95</v>
      </c>
      <c r="F133" s="51" t="s">
        <v>95</v>
      </c>
      <c r="G133" s="51" t="s">
        <v>95</v>
      </c>
      <c r="H133" s="51" t="s">
        <v>95</v>
      </c>
      <c r="I133" s="51" t="s">
        <v>88</v>
      </c>
      <c r="J133" s="51" t="s">
        <v>95</v>
      </c>
      <c r="K133" s="51" t="s">
        <v>88</v>
      </c>
      <c r="L133" s="51" t="s">
        <v>94</v>
      </c>
      <c r="M133" s="51" t="s">
        <v>95</v>
      </c>
      <c r="N133" s="51" t="s">
        <v>344</v>
      </c>
      <c r="O133" s="51" t="s">
        <v>124</v>
      </c>
      <c r="P133" s="51" t="s">
        <v>187</v>
      </c>
      <c r="Q133" s="51" t="s">
        <v>127</v>
      </c>
      <c r="R133" s="51" t="s">
        <v>333</v>
      </c>
      <c r="S133" s="112">
        <v>0.47899999999999998</v>
      </c>
      <c r="T133" s="112">
        <v>0.42799999999999999</v>
      </c>
      <c r="U133" s="112">
        <v>0.33200000000000002</v>
      </c>
      <c r="V133" s="65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</row>
    <row r="134" spans="1:218" x14ac:dyDescent="0.35">
      <c r="A134" s="54"/>
      <c r="B134" s="55"/>
      <c r="C134" s="27" t="s">
        <v>207</v>
      </c>
      <c r="D134" s="52" t="s">
        <v>218</v>
      </c>
      <c r="E134" s="52" t="s">
        <v>95</v>
      </c>
      <c r="F134" s="52" t="s">
        <v>95</v>
      </c>
      <c r="G134" s="52" t="s">
        <v>95</v>
      </c>
      <c r="H134" s="52" t="s">
        <v>95</v>
      </c>
      <c r="I134" s="52" t="s">
        <v>88</v>
      </c>
      <c r="J134" s="52" t="s">
        <v>95</v>
      </c>
      <c r="K134" s="52" t="s">
        <v>88</v>
      </c>
      <c r="L134" s="52" t="s">
        <v>94</v>
      </c>
      <c r="M134" s="52" t="s">
        <v>95</v>
      </c>
      <c r="N134" s="52" t="s">
        <v>345</v>
      </c>
      <c r="O134" s="52" t="s">
        <v>124</v>
      </c>
      <c r="P134" s="52" t="s">
        <v>187</v>
      </c>
      <c r="Q134" s="52" t="s">
        <v>127</v>
      </c>
      <c r="R134" s="52" t="s">
        <v>333</v>
      </c>
      <c r="S134" s="111">
        <v>0.47699999999999998</v>
      </c>
      <c r="T134" s="111">
        <v>0.34899999999999998</v>
      </c>
      <c r="U134" s="111">
        <v>0.35099999999999998</v>
      </c>
      <c r="V134" s="65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</row>
    <row r="135" spans="1:218" x14ac:dyDescent="0.35">
      <c r="A135" s="54"/>
      <c r="B135" s="55"/>
      <c r="C135" s="27"/>
      <c r="D135" s="51" t="s">
        <v>219</v>
      </c>
      <c r="E135" s="51" t="s">
        <v>95</v>
      </c>
      <c r="F135" s="51" t="s">
        <v>95</v>
      </c>
      <c r="G135" s="51" t="s">
        <v>95</v>
      </c>
      <c r="H135" s="51" t="s">
        <v>95</v>
      </c>
      <c r="I135" s="51" t="s">
        <v>88</v>
      </c>
      <c r="J135" s="51" t="s">
        <v>95</v>
      </c>
      <c r="K135" s="51" t="s">
        <v>88</v>
      </c>
      <c r="L135" s="51" t="s">
        <v>94</v>
      </c>
      <c r="M135" s="51" t="s">
        <v>95</v>
      </c>
      <c r="N135" s="51" t="s">
        <v>225</v>
      </c>
      <c r="O135" s="51" t="s">
        <v>124</v>
      </c>
      <c r="P135" s="51" t="s">
        <v>187</v>
      </c>
      <c r="Q135" s="51" t="s">
        <v>127</v>
      </c>
      <c r="R135" s="51" t="s">
        <v>333</v>
      </c>
      <c r="S135" s="112">
        <v>0.52200000000000002</v>
      </c>
      <c r="T135" s="112">
        <v>0.28199999999999997</v>
      </c>
      <c r="U135" s="112">
        <v>0.32200000000000001</v>
      </c>
      <c r="V135" s="65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</row>
    <row r="136" spans="1:218" x14ac:dyDescent="0.35">
      <c r="A136" s="54"/>
      <c r="B136" s="55"/>
      <c r="C136" s="27" t="s">
        <v>208</v>
      </c>
      <c r="D136" s="52" t="s">
        <v>220</v>
      </c>
      <c r="E136" s="52" t="s">
        <v>95</v>
      </c>
      <c r="F136" s="52" t="s">
        <v>95</v>
      </c>
      <c r="G136" s="52" t="s">
        <v>95</v>
      </c>
      <c r="H136" s="52" t="s">
        <v>95</v>
      </c>
      <c r="I136" s="52" t="s">
        <v>88</v>
      </c>
      <c r="J136" s="52" t="s">
        <v>95</v>
      </c>
      <c r="K136" s="52" t="s">
        <v>88</v>
      </c>
      <c r="L136" s="52" t="s">
        <v>94</v>
      </c>
      <c r="M136" s="52" t="s">
        <v>95</v>
      </c>
      <c r="N136" s="52" t="s">
        <v>226</v>
      </c>
      <c r="O136" s="52" t="s">
        <v>124</v>
      </c>
      <c r="P136" s="52" t="s">
        <v>187</v>
      </c>
      <c r="Q136" s="52" t="s">
        <v>127</v>
      </c>
      <c r="R136" s="52" t="s">
        <v>333</v>
      </c>
      <c r="S136" s="111">
        <v>0.47499999999999998</v>
      </c>
      <c r="T136" s="111">
        <v>0.28699999999999998</v>
      </c>
      <c r="U136" s="111">
        <v>0.33300000000000002</v>
      </c>
      <c r="V136" s="65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</row>
    <row r="137" spans="1:218" x14ac:dyDescent="0.35">
      <c r="A137" s="54"/>
      <c r="B137" s="55"/>
      <c r="C137" s="27" t="s">
        <v>209</v>
      </c>
      <c r="D137" s="51" t="s">
        <v>221</v>
      </c>
      <c r="E137" s="51" t="s">
        <v>95</v>
      </c>
      <c r="F137" s="51" t="s">
        <v>95</v>
      </c>
      <c r="G137" s="51" t="s">
        <v>95</v>
      </c>
      <c r="H137" s="51" t="s">
        <v>95</v>
      </c>
      <c r="I137" s="51" t="s">
        <v>88</v>
      </c>
      <c r="J137" s="51" t="s">
        <v>95</v>
      </c>
      <c r="K137" s="51" t="s">
        <v>88</v>
      </c>
      <c r="L137" s="51" t="s">
        <v>94</v>
      </c>
      <c r="M137" s="51" t="s">
        <v>95</v>
      </c>
      <c r="N137" s="51" t="s">
        <v>227</v>
      </c>
      <c r="O137" s="51" t="s">
        <v>124</v>
      </c>
      <c r="P137" s="51" t="s">
        <v>187</v>
      </c>
      <c r="Q137" s="51" t="s">
        <v>127</v>
      </c>
      <c r="R137" s="51" t="s">
        <v>346</v>
      </c>
      <c r="S137" s="112">
        <v>0.48199999999999998</v>
      </c>
      <c r="T137" s="112">
        <v>0.34</v>
      </c>
      <c r="U137" s="112">
        <v>0.28699999999999998</v>
      </c>
      <c r="V137" s="65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</row>
    <row r="138" spans="1:218" x14ac:dyDescent="0.35">
      <c r="A138" s="54"/>
      <c r="B138" s="55"/>
      <c r="C138" s="27"/>
      <c r="D138" s="52" t="s">
        <v>222</v>
      </c>
      <c r="E138" s="52" t="s">
        <v>95</v>
      </c>
      <c r="F138" s="52" t="s">
        <v>95</v>
      </c>
      <c r="G138" s="52" t="s">
        <v>95</v>
      </c>
      <c r="H138" s="52" t="s">
        <v>95</v>
      </c>
      <c r="I138" s="52" t="s">
        <v>88</v>
      </c>
      <c r="J138" s="52" t="s">
        <v>95</v>
      </c>
      <c r="K138" s="52" t="s">
        <v>88</v>
      </c>
      <c r="L138" s="52" t="s">
        <v>94</v>
      </c>
      <c r="M138" s="52" t="s">
        <v>95</v>
      </c>
      <c r="N138" s="52" t="s">
        <v>228</v>
      </c>
      <c r="O138" s="52" t="s">
        <v>124</v>
      </c>
      <c r="P138" s="52" t="s">
        <v>187</v>
      </c>
      <c r="Q138" s="52" t="s">
        <v>127</v>
      </c>
      <c r="R138" s="52" t="s">
        <v>333</v>
      </c>
      <c r="S138" s="111">
        <v>0.47699999999999998</v>
      </c>
      <c r="T138" s="111">
        <v>0.25700000000000001</v>
      </c>
      <c r="U138" s="111">
        <v>0.30399999999999999</v>
      </c>
      <c r="V138" s="65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</row>
    <row r="139" spans="1:218" ht="15" thickBot="1" x14ac:dyDescent="0.4">
      <c r="A139" s="54"/>
      <c r="B139" s="55"/>
      <c r="C139" s="62"/>
      <c r="D139" s="53" t="s">
        <v>223</v>
      </c>
      <c r="E139" s="53" t="s">
        <v>95</v>
      </c>
      <c r="F139" s="53" t="s">
        <v>95</v>
      </c>
      <c r="G139" s="53" t="s">
        <v>95</v>
      </c>
      <c r="H139" s="53" t="s">
        <v>95</v>
      </c>
      <c r="I139" s="53" t="s">
        <v>88</v>
      </c>
      <c r="J139" s="53" t="s">
        <v>95</v>
      </c>
      <c r="K139" s="53" t="s">
        <v>88</v>
      </c>
      <c r="L139" s="53" t="s">
        <v>94</v>
      </c>
      <c r="M139" s="53" t="s">
        <v>95</v>
      </c>
      <c r="N139" s="53" t="s">
        <v>347</v>
      </c>
      <c r="O139" s="53" t="s">
        <v>124</v>
      </c>
      <c r="P139" s="53" t="s">
        <v>187</v>
      </c>
      <c r="Q139" s="53" t="s">
        <v>127</v>
      </c>
      <c r="R139" s="53" t="s">
        <v>333</v>
      </c>
      <c r="S139" s="121">
        <v>0.48399999999999999</v>
      </c>
      <c r="T139" s="121">
        <v>0.33400000000000002</v>
      </c>
      <c r="U139" s="121">
        <v>0.27500000000000002</v>
      </c>
      <c r="V139" s="66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</row>
    <row r="140" spans="1:218" x14ac:dyDescent="0.35">
      <c r="A140" s="54"/>
      <c r="B140" s="55"/>
      <c r="C140" s="44"/>
      <c r="D140" s="56" t="s">
        <v>224</v>
      </c>
      <c r="E140" s="56" t="s">
        <v>95</v>
      </c>
      <c r="F140" s="56" t="s">
        <v>95</v>
      </c>
      <c r="G140" s="56" t="s">
        <v>95</v>
      </c>
      <c r="H140" s="56" t="s">
        <v>95</v>
      </c>
      <c r="I140" s="56" t="s">
        <v>88</v>
      </c>
      <c r="J140" s="56" t="s">
        <v>95</v>
      </c>
      <c r="K140" s="56" t="s">
        <v>88</v>
      </c>
      <c r="L140" s="56" t="s">
        <v>94</v>
      </c>
      <c r="M140" s="56" t="s">
        <v>95</v>
      </c>
      <c r="N140" s="56" t="s">
        <v>318</v>
      </c>
      <c r="O140" s="56" t="s">
        <v>229</v>
      </c>
      <c r="P140" s="56" t="s">
        <v>230</v>
      </c>
      <c r="Q140" s="56" t="s">
        <v>127</v>
      </c>
      <c r="R140" s="56" t="s">
        <v>333</v>
      </c>
      <c r="S140" s="113">
        <v>0.54</v>
      </c>
      <c r="T140" s="113">
        <v>0.27400000000000002</v>
      </c>
      <c r="U140" s="113">
        <v>0.308</v>
      </c>
      <c r="V140" s="67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</row>
    <row r="141" spans="1:218" x14ac:dyDescent="0.35">
      <c r="A141" s="54"/>
      <c r="B141" s="55"/>
      <c r="C141" s="29" t="s">
        <v>179</v>
      </c>
      <c r="D141" s="57" t="s">
        <v>233</v>
      </c>
      <c r="E141" s="57" t="s">
        <v>95</v>
      </c>
      <c r="F141" s="57" t="s">
        <v>95</v>
      </c>
      <c r="G141" s="57" t="s">
        <v>95</v>
      </c>
      <c r="H141" s="57" t="s">
        <v>95</v>
      </c>
      <c r="I141" s="57" t="s">
        <v>88</v>
      </c>
      <c r="J141" s="57" t="s">
        <v>95</v>
      </c>
      <c r="K141" s="57" t="s">
        <v>88</v>
      </c>
      <c r="L141" s="57" t="s">
        <v>94</v>
      </c>
      <c r="M141" s="57" t="s">
        <v>95</v>
      </c>
      <c r="N141" s="57" t="s">
        <v>318</v>
      </c>
      <c r="O141" s="57" t="s">
        <v>229</v>
      </c>
      <c r="P141" s="57" t="s">
        <v>232</v>
      </c>
      <c r="Q141" s="57" t="s">
        <v>127</v>
      </c>
      <c r="R141" s="57" t="s">
        <v>333</v>
      </c>
      <c r="S141" s="114">
        <v>0.46800000000000003</v>
      </c>
      <c r="T141" s="114">
        <v>0.29499999999999998</v>
      </c>
      <c r="U141" s="114">
        <v>0.32900000000000001</v>
      </c>
      <c r="V141" s="68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</row>
    <row r="142" spans="1:218" x14ac:dyDescent="0.35">
      <c r="A142" s="54"/>
      <c r="B142" s="55"/>
      <c r="C142" s="29"/>
      <c r="D142" s="58" t="s">
        <v>234</v>
      </c>
      <c r="E142" s="58" t="s">
        <v>95</v>
      </c>
      <c r="F142" s="58" t="s">
        <v>95</v>
      </c>
      <c r="G142" s="58" t="s">
        <v>95</v>
      </c>
      <c r="H142" s="58" t="s">
        <v>95</v>
      </c>
      <c r="I142" s="58" t="s">
        <v>88</v>
      </c>
      <c r="J142" s="58" t="s">
        <v>95</v>
      </c>
      <c r="K142" s="58" t="s">
        <v>88</v>
      </c>
      <c r="L142" s="58" t="s">
        <v>94</v>
      </c>
      <c r="M142" s="58" t="s">
        <v>95</v>
      </c>
      <c r="N142" s="58" t="s">
        <v>318</v>
      </c>
      <c r="O142" s="58" t="s">
        <v>124</v>
      </c>
      <c r="P142" s="58" t="s">
        <v>125</v>
      </c>
      <c r="Q142" s="58" t="s">
        <v>127</v>
      </c>
      <c r="R142" s="58" t="s">
        <v>348</v>
      </c>
      <c r="S142" s="115">
        <v>0.47699999999999998</v>
      </c>
      <c r="T142" s="115">
        <v>0.40300000000000002</v>
      </c>
      <c r="U142" s="115">
        <v>0.28199999999999997</v>
      </c>
      <c r="V142" s="68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</row>
    <row r="143" spans="1:218" x14ac:dyDescent="0.35">
      <c r="A143" s="54"/>
      <c r="B143" s="55"/>
      <c r="C143" s="29" t="s">
        <v>180</v>
      </c>
      <c r="D143" s="57" t="s">
        <v>235</v>
      </c>
      <c r="E143" s="57" t="s">
        <v>95</v>
      </c>
      <c r="F143" s="57" t="s">
        <v>95</v>
      </c>
      <c r="G143" s="57" t="s">
        <v>95</v>
      </c>
      <c r="H143" s="57" t="s">
        <v>95</v>
      </c>
      <c r="I143" s="57" t="s">
        <v>88</v>
      </c>
      <c r="J143" s="57" t="s">
        <v>95</v>
      </c>
      <c r="K143" s="57" t="s">
        <v>88</v>
      </c>
      <c r="L143" s="57" t="s">
        <v>94</v>
      </c>
      <c r="M143" s="57" t="s">
        <v>95</v>
      </c>
      <c r="N143" s="57" t="s">
        <v>318</v>
      </c>
      <c r="O143" s="57" t="s">
        <v>124</v>
      </c>
      <c r="P143" s="57" t="s">
        <v>125</v>
      </c>
      <c r="Q143" s="57" t="s">
        <v>127</v>
      </c>
      <c r="R143" s="57" t="s">
        <v>349</v>
      </c>
      <c r="S143" s="114">
        <v>0.47599999999999998</v>
      </c>
      <c r="T143" s="114">
        <v>0.34899999999999998</v>
      </c>
      <c r="U143" s="114">
        <v>0.33300000000000002</v>
      </c>
      <c r="V143" s="68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</row>
    <row r="144" spans="1:218" x14ac:dyDescent="0.35">
      <c r="A144" s="54"/>
      <c r="B144" s="55"/>
      <c r="C144" s="29" t="s">
        <v>181</v>
      </c>
      <c r="D144" s="58" t="s">
        <v>236</v>
      </c>
      <c r="E144" s="58" t="s">
        <v>95</v>
      </c>
      <c r="F144" s="58" t="s">
        <v>95</v>
      </c>
      <c r="G144" s="58" t="s">
        <v>95</v>
      </c>
      <c r="H144" s="58" t="s">
        <v>95</v>
      </c>
      <c r="I144" s="58" t="s">
        <v>88</v>
      </c>
      <c r="J144" s="58" t="s">
        <v>95</v>
      </c>
      <c r="K144" s="58" t="s">
        <v>88</v>
      </c>
      <c r="L144" s="58" t="s">
        <v>94</v>
      </c>
      <c r="M144" s="58" t="s">
        <v>95</v>
      </c>
      <c r="N144" s="58" t="s">
        <v>318</v>
      </c>
      <c r="O144" s="58" t="s">
        <v>124</v>
      </c>
      <c r="P144" s="58" t="s">
        <v>125</v>
      </c>
      <c r="Q144" s="58" t="s">
        <v>127</v>
      </c>
      <c r="R144" s="58" t="s">
        <v>350</v>
      </c>
      <c r="S144" s="115">
        <v>0.47099999999999997</v>
      </c>
      <c r="T144" s="115">
        <v>0.32600000000000001</v>
      </c>
      <c r="U144" s="115">
        <v>0.32600000000000001</v>
      </c>
      <c r="V144" s="68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</row>
    <row r="145" spans="1:218" x14ac:dyDescent="0.35">
      <c r="A145" s="54"/>
      <c r="B145" s="55"/>
      <c r="C145" s="29" t="s">
        <v>4</v>
      </c>
      <c r="D145" s="57" t="s">
        <v>237</v>
      </c>
      <c r="E145" s="57" t="s">
        <v>95</v>
      </c>
      <c r="F145" s="57" t="s">
        <v>95</v>
      </c>
      <c r="G145" s="57" t="s">
        <v>95</v>
      </c>
      <c r="H145" s="57" t="s">
        <v>95</v>
      </c>
      <c r="I145" s="57" t="s">
        <v>88</v>
      </c>
      <c r="J145" s="57" t="s">
        <v>95</v>
      </c>
      <c r="K145" s="57" t="s">
        <v>88</v>
      </c>
      <c r="L145" s="57" t="s">
        <v>94</v>
      </c>
      <c r="M145" s="57" t="s">
        <v>95</v>
      </c>
      <c r="N145" s="57" t="s">
        <v>318</v>
      </c>
      <c r="O145" s="57" t="s">
        <v>124</v>
      </c>
      <c r="P145" s="57" t="s">
        <v>125</v>
      </c>
      <c r="Q145" s="57" t="s">
        <v>127</v>
      </c>
      <c r="R145" s="57" t="s">
        <v>351</v>
      </c>
      <c r="S145" s="114">
        <v>0.46300000000000002</v>
      </c>
      <c r="T145" s="114">
        <v>0.41</v>
      </c>
      <c r="U145" s="114">
        <v>0.30099999999999999</v>
      </c>
      <c r="V145" s="68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</row>
    <row r="146" spans="1:218" x14ac:dyDescent="0.35">
      <c r="A146" s="54"/>
      <c r="B146" s="55"/>
      <c r="C146" s="29" t="s">
        <v>131</v>
      </c>
      <c r="D146" s="58" t="s">
        <v>238</v>
      </c>
      <c r="E146" s="58" t="s">
        <v>95</v>
      </c>
      <c r="F146" s="58" t="s">
        <v>95</v>
      </c>
      <c r="G146" s="58" t="s">
        <v>95</v>
      </c>
      <c r="H146" s="58" t="s">
        <v>95</v>
      </c>
      <c r="I146" s="58" t="s">
        <v>88</v>
      </c>
      <c r="J146" s="58" t="s">
        <v>95</v>
      </c>
      <c r="K146" s="58" t="s">
        <v>88</v>
      </c>
      <c r="L146" s="58" t="s">
        <v>94</v>
      </c>
      <c r="M146" s="58" t="s">
        <v>95</v>
      </c>
      <c r="N146" s="58" t="s">
        <v>318</v>
      </c>
      <c r="O146" s="58" t="s">
        <v>124</v>
      </c>
      <c r="P146" s="58" t="s">
        <v>125</v>
      </c>
      <c r="Q146" s="58" t="s">
        <v>127</v>
      </c>
      <c r="R146" s="58" t="s">
        <v>352</v>
      </c>
      <c r="S146" s="115">
        <v>0.46</v>
      </c>
      <c r="T146" s="115">
        <v>0.379</v>
      </c>
      <c r="U146" s="115">
        <v>0.32400000000000001</v>
      </c>
      <c r="V146" s="68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</row>
    <row r="147" spans="1:218" x14ac:dyDescent="0.35">
      <c r="A147" s="54"/>
      <c r="B147" s="55"/>
      <c r="C147" s="29" t="s">
        <v>29</v>
      </c>
      <c r="D147" s="57" t="s">
        <v>239</v>
      </c>
      <c r="E147" s="57" t="s">
        <v>95</v>
      </c>
      <c r="F147" s="57" t="s">
        <v>95</v>
      </c>
      <c r="G147" s="57" t="s">
        <v>95</v>
      </c>
      <c r="H147" s="57" t="s">
        <v>95</v>
      </c>
      <c r="I147" s="57" t="s">
        <v>88</v>
      </c>
      <c r="J147" s="57" t="s">
        <v>95</v>
      </c>
      <c r="K147" s="57" t="s">
        <v>88</v>
      </c>
      <c r="L147" s="57" t="s">
        <v>94</v>
      </c>
      <c r="M147" s="57" t="s">
        <v>95</v>
      </c>
      <c r="N147" s="57" t="s">
        <v>318</v>
      </c>
      <c r="O147" s="57" t="s">
        <v>124</v>
      </c>
      <c r="P147" s="57" t="s">
        <v>187</v>
      </c>
      <c r="Q147" s="57" t="s">
        <v>127</v>
      </c>
      <c r="R147" s="57" t="s">
        <v>353</v>
      </c>
      <c r="S147" s="114">
        <v>0.503</v>
      </c>
      <c r="T147" s="114">
        <v>0.37</v>
      </c>
      <c r="U147" s="114">
        <v>0.318</v>
      </c>
      <c r="V147" s="68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</row>
    <row r="148" spans="1:218" x14ac:dyDescent="0.35">
      <c r="A148" s="54"/>
      <c r="B148" s="55"/>
      <c r="C148" s="29" t="s">
        <v>231</v>
      </c>
      <c r="D148" s="58" t="s">
        <v>240</v>
      </c>
      <c r="E148" s="58" t="s">
        <v>95</v>
      </c>
      <c r="F148" s="58" t="s">
        <v>95</v>
      </c>
      <c r="G148" s="58" t="s">
        <v>95</v>
      </c>
      <c r="H148" s="58" t="s">
        <v>95</v>
      </c>
      <c r="I148" s="58" t="s">
        <v>88</v>
      </c>
      <c r="J148" s="58" t="s">
        <v>95</v>
      </c>
      <c r="K148" s="58" t="s">
        <v>88</v>
      </c>
      <c r="L148" s="58" t="s">
        <v>94</v>
      </c>
      <c r="M148" s="58" t="s">
        <v>95</v>
      </c>
      <c r="N148" s="58" t="s">
        <v>318</v>
      </c>
      <c r="O148" s="58" t="s">
        <v>124</v>
      </c>
      <c r="P148" s="58" t="s">
        <v>125</v>
      </c>
      <c r="Q148" s="58" t="s">
        <v>127</v>
      </c>
      <c r="R148" s="58" t="s">
        <v>354</v>
      </c>
      <c r="S148" s="115">
        <v>0.50800000000000001</v>
      </c>
      <c r="T148" s="115">
        <v>0.40300000000000002</v>
      </c>
      <c r="U148" s="115">
        <v>0.32700000000000001</v>
      </c>
      <c r="V148" s="68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</row>
    <row r="149" spans="1:218" x14ac:dyDescent="0.35">
      <c r="A149" s="54"/>
      <c r="B149" s="55"/>
      <c r="C149" s="29"/>
      <c r="D149" s="57" t="s">
        <v>241</v>
      </c>
      <c r="E149" s="57" t="s">
        <v>95</v>
      </c>
      <c r="F149" s="57" t="s">
        <v>95</v>
      </c>
      <c r="G149" s="57" t="s">
        <v>95</v>
      </c>
      <c r="H149" s="57" t="s">
        <v>95</v>
      </c>
      <c r="I149" s="57" t="s">
        <v>88</v>
      </c>
      <c r="J149" s="57" t="s">
        <v>95</v>
      </c>
      <c r="K149" s="57" t="s">
        <v>88</v>
      </c>
      <c r="L149" s="57" t="s">
        <v>94</v>
      </c>
      <c r="M149" s="57" t="s">
        <v>95</v>
      </c>
      <c r="N149" s="57" t="s">
        <v>318</v>
      </c>
      <c r="O149" s="57" t="s">
        <v>124</v>
      </c>
      <c r="P149" s="57" t="s">
        <v>125</v>
      </c>
      <c r="Q149" s="57" t="s">
        <v>127</v>
      </c>
      <c r="R149" s="57" t="s">
        <v>355</v>
      </c>
      <c r="S149" s="114">
        <v>0.48399999999999999</v>
      </c>
      <c r="T149" s="114">
        <v>0.40600000000000003</v>
      </c>
      <c r="U149" s="114">
        <v>0.33500000000000002</v>
      </c>
      <c r="V149" s="68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</row>
    <row r="150" spans="1:218" x14ac:dyDescent="0.35">
      <c r="A150" s="54"/>
      <c r="B150" s="55"/>
      <c r="C150" s="29"/>
      <c r="D150" s="58" t="s">
        <v>242</v>
      </c>
      <c r="E150" s="58" t="s">
        <v>95</v>
      </c>
      <c r="F150" s="58" t="s">
        <v>95</v>
      </c>
      <c r="G150" s="58" t="s">
        <v>95</v>
      </c>
      <c r="H150" s="58" t="s">
        <v>95</v>
      </c>
      <c r="I150" s="58" t="s">
        <v>88</v>
      </c>
      <c r="J150" s="58" t="s">
        <v>95</v>
      </c>
      <c r="K150" s="58" t="s">
        <v>88</v>
      </c>
      <c r="L150" s="58" t="s">
        <v>94</v>
      </c>
      <c r="M150" s="58" t="s">
        <v>95</v>
      </c>
      <c r="N150" s="58" t="s">
        <v>318</v>
      </c>
      <c r="O150" s="58" t="s">
        <v>124</v>
      </c>
      <c r="P150" s="58" t="s">
        <v>125</v>
      </c>
      <c r="Q150" s="58" t="s">
        <v>127</v>
      </c>
      <c r="R150" s="58" t="s">
        <v>356</v>
      </c>
      <c r="S150" s="115">
        <v>0.48099999999999998</v>
      </c>
      <c r="T150" s="115">
        <v>0.378</v>
      </c>
      <c r="U150" s="115">
        <v>0.32500000000000001</v>
      </c>
      <c r="V150" s="68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</row>
    <row r="151" spans="1:218" x14ac:dyDescent="0.35">
      <c r="A151" s="54"/>
      <c r="B151" s="55"/>
      <c r="C151" s="29"/>
      <c r="D151" s="57" t="s">
        <v>243</v>
      </c>
      <c r="E151" s="57" t="s">
        <v>95</v>
      </c>
      <c r="F151" s="57" t="s">
        <v>95</v>
      </c>
      <c r="G151" s="57" t="s">
        <v>95</v>
      </c>
      <c r="H151" s="57" t="s">
        <v>95</v>
      </c>
      <c r="I151" s="57" t="s">
        <v>88</v>
      </c>
      <c r="J151" s="57" t="s">
        <v>95</v>
      </c>
      <c r="K151" s="57" t="s">
        <v>88</v>
      </c>
      <c r="L151" s="57" t="s">
        <v>94</v>
      </c>
      <c r="M151" s="57" t="s">
        <v>95</v>
      </c>
      <c r="N151" s="57" t="s">
        <v>318</v>
      </c>
      <c r="O151" s="57" t="s">
        <v>124</v>
      </c>
      <c r="P151" s="57" t="s">
        <v>187</v>
      </c>
      <c r="Q151" s="57" t="s">
        <v>127</v>
      </c>
      <c r="R151" s="57" t="s">
        <v>357</v>
      </c>
      <c r="S151" s="114">
        <v>0.46200000000000002</v>
      </c>
      <c r="T151" s="114">
        <v>0.40300000000000002</v>
      </c>
      <c r="U151" s="114">
        <v>0.3</v>
      </c>
      <c r="V151" s="68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</row>
    <row r="152" spans="1:218" ht="15" thickBot="1" x14ac:dyDescent="0.4">
      <c r="A152" s="54"/>
      <c r="B152" s="55"/>
      <c r="C152" s="45"/>
      <c r="D152" s="59" t="s">
        <v>244</v>
      </c>
      <c r="E152" s="59" t="s">
        <v>95</v>
      </c>
      <c r="F152" s="59" t="s">
        <v>95</v>
      </c>
      <c r="G152" s="59" t="s">
        <v>95</v>
      </c>
      <c r="H152" s="59" t="s">
        <v>95</v>
      </c>
      <c r="I152" s="59" t="s">
        <v>88</v>
      </c>
      <c r="J152" s="59" t="s">
        <v>95</v>
      </c>
      <c r="K152" s="59" t="s">
        <v>88</v>
      </c>
      <c r="L152" s="59" t="s">
        <v>94</v>
      </c>
      <c r="M152" s="59" t="s">
        <v>95</v>
      </c>
      <c r="N152" s="59" t="s">
        <v>318</v>
      </c>
      <c r="O152" s="59" t="s">
        <v>124</v>
      </c>
      <c r="P152" s="59" t="s">
        <v>187</v>
      </c>
      <c r="Q152" s="59" t="s">
        <v>127</v>
      </c>
      <c r="R152" s="59" t="s">
        <v>358</v>
      </c>
      <c r="S152" s="122">
        <v>0.51</v>
      </c>
      <c r="T152" s="122">
        <v>0.41299999999999998</v>
      </c>
      <c r="U152" s="122">
        <v>0.29199999999999998</v>
      </c>
      <c r="V152" s="69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</row>
    <row r="153" spans="1:218" x14ac:dyDescent="0.35">
      <c r="A153" s="54"/>
      <c r="B153" s="55"/>
      <c r="C153" s="70"/>
      <c r="D153" s="71" t="s">
        <v>249</v>
      </c>
      <c r="E153" s="71" t="s">
        <v>95</v>
      </c>
      <c r="F153" s="71" t="s">
        <v>95</v>
      </c>
      <c r="G153" s="71" t="s">
        <v>95</v>
      </c>
      <c r="H153" s="71" t="s">
        <v>95</v>
      </c>
      <c r="I153" s="71" t="s">
        <v>88</v>
      </c>
      <c r="J153" s="71" t="s">
        <v>95</v>
      </c>
      <c r="K153" s="71" t="s">
        <v>88</v>
      </c>
      <c r="L153" s="71" t="s">
        <v>94</v>
      </c>
      <c r="M153" s="71" t="s">
        <v>95</v>
      </c>
      <c r="N153" s="71" t="s">
        <v>318</v>
      </c>
      <c r="O153" s="71" t="s">
        <v>124</v>
      </c>
      <c r="P153" s="71" t="s">
        <v>187</v>
      </c>
      <c r="Q153" s="71" t="s">
        <v>127</v>
      </c>
      <c r="R153" s="71" t="s">
        <v>359</v>
      </c>
      <c r="S153" s="123">
        <v>0.48199999999999998</v>
      </c>
      <c r="T153" s="123">
        <v>0.311</v>
      </c>
      <c r="U153" s="123">
        <v>0.378</v>
      </c>
      <c r="V153" s="63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</row>
    <row r="154" spans="1:218" x14ac:dyDescent="0.35">
      <c r="A154" s="1"/>
      <c r="B154" s="4"/>
      <c r="C154" s="40" t="s">
        <v>245</v>
      </c>
      <c r="D154" s="20" t="s">
        <v>250</v>
      </c>
      <c r="E154" s="20" t="s">
        <v>95</v>
      </c>
      <c r="F154" s="20" t="s">
        <v>95</v>
      </c>
      <c r="G154" s="20" t="s">
        <v>95</v>
      </c>
      <c r="H154" s="20" t="s">
        <v>95</v>
      </c>
      <c r="I154" s="20" t="s">
        <v>88</v>
      </c>
      <c r="J154" s="20" t="s">
        <v>95</v>
      </c>
      <c r="K154" s="20" t="s">
        <v>88</v>
      </c>
      <c r="L154" s="20" t="s">
        <v>94</v>
      </c>
      <c r="M154" s="20" t="s">
        <v>95</v>
      </c>
      <c r="N154" s="20" t="s">
        <v>318</v>
      </c>
      <c r="O154" s="20" t="s">
        <v>124</v>
      </c>
      <c r="P154" s="20" t="s">
        <v>187</v>
      </c>
      <c r="Q154" s="20" t="s">
        <v>127</v>
      </c>
      <c r="R154" s="20" t="s">
        <v>360</v>
      </c>
      <c r="S154" s="118">
        <v>0.49399999999999999</v>
      </c>
      <c r="T154" s="118">
        <v>0.34100000000000003</v>
      </c>
      <c r="U154" s="118">
        <v>0.32900000000000001</v>
      </c>
      <c r="V154" s="47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</row>
    <row r="155" spans="1:218" x14ac:dyDescent="0.35">
      <c r="A155" s="1"/>
      <c r="B155" s="4"/>
      <c r="C155" s="40" t="s">
        <v>246</v>
      </c>
      <c r="D155" s="19" t="s">
        <v>251</v>
      </c>
      <c r="E155" s="19" t="s">
        <v>95</v>
      </c>
      <c r="F155" s="19" t="s">
        <v>95</v>
      </c>
      <c r="G155" s="19" t="s">
        <v>95</v>
      </c>
      <c r="H155" s="19" t="s">
        <v>95</v>
      </c>
      <c r="I155" s="19" t="s">
        <v>88</v>
      </c>
      <c r="J155" s="19" t="s">
        <v>95</v>
      </c>
      <c r="K155" s="19" t="s">
        <v>88</v>
      </c>
      <c r="L155" s="19" t="s">
        <v>94</v>
      </c>
      <c r="M155" s="19" t="s">
        <v>95</v>
      </c>
      <c r="N155" s="19" t="s">
        <v>318</v>
      </c>
      <c r="O155" s="19" t="s">
        <v>124</v>
      </c>
      <c r="P155" s="19" t="s">
        <v>187</v>
      </c>
      <c r="Q155" s="19" t="s">
        <v>127</v>
      </c>
      <c r="R155" s="19" t="s">
        <v>361</v>
      </c>
      <c r="S155" s="117">
        <v>0.45400000000000001</v>
      </c>
      <c r="T155" s="117">
        <v>0.40500000000000003</v>
      </c>
      <c r="U155" s="117">
        <v>0.33700000000000002</v>
      </c>
      <c r="V155" s="47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</row>
    <row r="156" spans="1:218" x14ac:dyDescent="0.35">
      <c r="A156" s="1"/>
      <c r="B156" s="4"/>
      <c r="C156" s="40" t="s">
        <v>247</v>
      </c>
      <c r="D156" s="20" t="s">
        <v>252</v>
      </c>
      <c r="E156" s="20" t="s">
        <v>95</v>
      </c>
      <c r="F156" s="20" t="s">
        <v>95</v>
      </c>
      <c r="G156" s="20" t="s">
        <v>95</v>
      </c>
      <c r="H156" s="20" t="s">
        <v>95</v>
      </c>
      <c r="I156" s="20" t="s">
        <v>88</v>
      </c>
      <c r="J156" s="20" t="s">
        <v>95</v>
      </c>
      <c r="K156" s="20" t="s">
        <v>88</v>
      </c>
      <c r="L156" s="20" t="s">
        <v>94</v>
      </c>
      <c r="M156" s="20" t="s">
        <v>95</v>
      </c>
      <c r="N156" s="20" t="s">
        <v>318</v>
      </c>
      <c r="O156" s="20" t="s">
        <v>124</v>
      </c>
      <c r="P156" s="20" t="s">
        <v>187</v>
      </c>
      <c r="Q156" s="20" t="s">
        <v>127</v>
      </c>
      <c r="R156" s="20" t="s">
        <v>362</v>
      </c>
      <c r="S156" s="118">
        <v>0.47</v>
      </c>
      <c r="T156" s="118">
        <v>0.30399999999999999</v>
      </c>
      <c r="U156" s="118">
        <v>0.34300000000000003</v>
      </c>
      <c r="V156" s="47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</row>
    <row r="157" spans="1:218" x14ac:dyDescent="0.35">
      <c r="A157" s="1"/>
      <c r="B157" s="4"/>
      <c r="C157" s="40"/>
      <c r="D157" s="19" t="s">
        <v>253</v>
      </c>
      <c r="E157" s="19" t="s">
        <v>95</v>
      </c>
      <c r="F157" s="19" t="s">
        <v>95</v>
      </c>
      <c r="G157" s="19" t="s">
        <v>95</v>
      </c>
      <c r="H157" s="19" t="s">
        <v>95</v>
      </c>
      <c r="I157" s="19" t="s">
        <v>88</v>
      </c>
      <c r="J157" s="19" t="s">
        <v>95</v>
      </c>
      <c r="K157" s="19" t="s">
        <v>88</v>
      </c>
      <c r="L157" s="19" t="s">
        <v>94</v>
      </c>
      <c r="M157" s="19" t="s">
        <v>95</v>
      </c>
      <c r="N157" s="19" t="s">
        <v>318</v>
      </c>
      <c r="O157" s="19" t="s">
        <v>124</v>
      </c>
      <c r="P157" s="19" t="s">
        <v>187</v>
      </c>
      <c r="Q157" s="19" t="s">
        <v>127</v>
      </c>
      <c r="R157" s="19" t="s">
        <v>363</v>
      </c>
      <c r="S157" s="117">
        <v>0.45600000000000002</v>
      </c>
      <c r="T157" s="117">
        <v>0.308</v>
      </c>
      <c r="U157" s="117">
        <v>0.35299999999999998</v>
      </c>
      <c r="V157" s="47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</row>
    <row r="158" spans="1:218" x14ac:dyDescent="0.35">
      <c r="A158" s="1"/>
      <c r="B158" s="1"/>
      <c r="C158" s="40" t="s">
        <v>248</v>
      </c>
      <c r="D158" s="20" t="s">
        <v>254</v>
      </c>
      <c r="E158" s="20" t="s">
        <v>95</v>
      </c>
      <c r="F158" s="20" t="s">
        <v>95</v>
      </c>
      <c r="G158" s="20" t="s">
        <v>95</v>
      </c>
      <c r="H158" s="20" t="s">
        <v>95</v>
      </c>
      <c r="I158" s="20" t="s">
        <v>88</v>
      </c>
      <c r="J158" s="20" t="s">
        <v>95</v>
      </c>
      <c r="K158" s="20" t="s">
        <v>88</v>
      </c>
      <c r="L158" s="20" t="s">
        <v>94</v>
      </c>
      <c r="M158" s="20" t="s">
        <v>95</v>
      </c>
      <c r="N158" s="20" t="s">
        <v>318</v>
      </c>
      <c r="O158" s="20" t="s">
        <v>124</v>
      </c>
      <c r="P158" s="20" t="s">
        <v>187</v>
      </c>
      <c r="Q158" s="20" t="s">
        <v>127</v>
      </c>
      <c r="R158" s="20" t="s">
        <v>364</v>
      </c>
      <c r="S158" s="118">
        <v>0.46700000000000003</v>
      </c>
      <c r="T158" s="118">
        <v>0.373</v>
      </c>
      <c r="U158" s="118">
        <v>0.28499999999999998</v>
      </c>
      <c r="V158" s="47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</row>
    <row r="159" spans="1:218" x14ac:dyDescent="0.35">
      <c r="A159" s="1"/>
      <c r="B159" s="1"/>
      <c r="C159" s="40"/>
      <c r="D159" s="19" t="s">
        <v>255</v>
      </c>
      <c r="E159" s="19" t="s">
        <v>95</v>
      </c>
      <c r="F159" s="19" t="s">
        <v>95</v>
      </c>
      <c r="G159" s="19" t="s">
        <v>95</v>
      </c>
      <c r="H159" s="19" t="s">
        <v>95</v>
      </c>
      <c r="I159" s="19" t="s">
        <v>88</v>
      </c>
      <c r="J159" s="19" t="s">
        <v>95</v>
      </c>
      <c r="K159" s="19" t="s">
        <v>88</v>
      </c>
      <c r="L159" s="19" t="s">
        <v>94</v>
      </c>
      <c r="M159" s="19" t="s">
        <v>95</v>
      </c>
      <c r="N159" s="19" t="s">
        <v>318</v>
      </c>
      <c r="O159" s="19" t="s">
        <v>124</v>
      </c>
      <c r="P159" s="19" t="s">
        <v>187</v>
      </c>
      <c r="Q159" s="19" t="s">
        <v>127</v>
      </c>
      <c r="R159" s="19" t="s">
        <v>365</v>
      </c>
      <c r="S159" s="117">
        <v>0.47199999999999998</v>
      </c>
      <c r="T159" s="117">
        <v>0.27700000000000002</v>
      </c>
      <c r="U159" s="117">
        <v>0.309</v>
      </c>
      <c r="V159" s="47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</row>
    <row r="160" spans="1:218" x14ac:dyDescent="0.35">
      <c r="A160" s="1"/>
      <c r="B160" s="1"/>
      <c r="C160" s="40"/>
      <c r="D160" s="20" t="s">
        <v>256</v>
      </c>
      <c r="E160" s="20" t="s">
        <v>95</v>
      </c>
      <c r="F160" s="20" t="s">
        <v>95</v>
      </c>
      <c r="G160" s="20" t="s">
        <v>95</v>
      </c>
      <c r="H160" s="20" t="s">
        <v>95</v>
      </c>
      <c r="I160" s="20" t="s">
        <v>88</v>
      </c>
      <c r="J160" s="20" t="s">
        <v>95</v>
      </c>
      <c r="K160" s="20" t="s">
        <v>88</v>
      </c>
      <c r="L160" s="20" t="s">
        <v>94</v>
      </c>
      <c r="M160" s="20" t="s">
        <v>95</v>
      </c>
      <c r="N160" s="20" t="s">
        <v>318</v>
      </c>
      <c r="O160" s="20" t="s">
        <v>124</v>
      </c>
      <c r="P160" s="20" t="s">
        <v>187</v>
      </c>
      <c r="Q160" s="20" t="s">
        <v>127</v>
      </c>
      <c r="R160" s="20" t="s">
        <v>366</v>
      </c>
      <c r="S160" s="118">
        <v>0.46500000000000002</v>
      </c>
      <c r="T160" s="118">
        <v>0.376</v>
      </c>
      <c r="U160" s="118">
        <v>0.316</v>
      </c>
      <c r="V160" s="47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</row>
    <row r="161" spans="1:218" x14ac:dyDescent="0.35">
      <c r="A161" s="1"/>
      <c r="B161" s="1"/>
      <c r="C161" s="40"/>
      <c r="D161" s="19" t="s">
        <v>257</v>
      </c>
      <c r="E161" s="19" t="s">
        <v>95</v>
      </c>
      <c r="F161" s="19" t="s">
        <v>95</v>
      </c>
      <c r="G161" s="19" t="s">
        <v>95</v>
      </c>
      <c r="H161" s="19" t="s">
        <v>95</v>
      </c>
      <c r="I161" s="19" t="s">
        <v>88</v>
      </c>
      <c r="J161" s="19" t="s">
        <v>95</v>
      </c>
      <c r="K161" s="19" t="s">
        <v>88</v>
      </c>
      <c r="L161" s="19" t="s">
        <v>94</v>
      </c>
      <c r="M161" s="19" t="s">
        <v>95</v>
      </c>
      <c r="N161" s="19" t="s">
        <v>318</v>
      </c>
      <c r="O161" s="19" t="s">
        <v>124</v>
      </c>
      <c r="P161" s="19" t="s">
        <v>187</v>
      </c>
      <c r="Q161" s="19" t="s">
        <v>127</v>
      </c>
      <c r="R161" s="19" t="s">
        <v>367</v>
      </c>
      <c r="S161" s="117">
        <v>0.46100000000000002</v>
      </c>
      <c r="T161" s="117">
        <v>0.34799999999999998</v>
      </c>
      <c r="U161" s="117">
        <v>0.29299999999999998</v>
      </c>
      <c r="V161" s="47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</row>
    <row r="162" spans="1:218" x14ac:dyDescent="0.35">
      <c r="A162" s="1"/>
      <c r="B162" s="1"/>
      <c r="C162" s="40"/>
      <c r="D162" s="20" t="s">
        <v>258</v>
      </c>
      <c r="E162" s="20" t="s">
        <v>95</v>
      </c>
      <c r="F162" s="20" t="s">
        <v>95</v>
      </c>
      <c r="G162" s="20" t="s">
        <v>95</v>
      </c>
      <c r="H162" s="20" t="s">
        <v>95</v>
      </c>
      <c r="I162" s="20" t="s">
        <v>88</v>
      </c>
      <c r="J162" s="20" t="s">
        <v>95</v>
      </c>
      <c r="K162" s="20" t="s">
        <v>88</v>
      </c>
      <c r="L162" s="20" t="s">
        <v>94</v>
      </c>
      <c r="M162" s="20" t="s">
        <v>95</v>
      </c>
      <c r="N162" s="20" t="s">
        <v>318</v>
      </c>
      <c r="O162" s="20" t="s">
        <v>124</v>
      </c>
      <c r="P162" s="20" t="s">
        <v>187</v>
      </c>
      <c r="Q162" s="20" t="s">
        <v>127</v>
      </c>
      <c r="R162" s="20" t="s">
        <v>368</v>
      </c>
      <c r="S162" s="118">
        <v>0.46700000000000003</v>
      </c>
      <c r="T162" s="118">
        <v>0.375</v>
      </c>
      <c r="U162" s="118">
        <v>0.375</v>
      </c>
      <c r="V162" s="47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</row>
    <row r="163" spans="1:218" x14ac:dyDescent="0.35">
      <c r="A163" s="1"/>
      <c r="B163" s="1"/>
      <c r="C163" s="40"/>
      <c r="D163" s="19" t="s">
        <v>259</v>
      </c>
      <c r="E163" s="19" t="s">
        <v>95</v>
      </c>
      <c r="F163" s="19" t="s">
        <v>95</v>
      </c>
      <c r="G163" s="19" t="s">
        <v>95</v>
      </c>
      <c r="H163" s="19" t="s">
        <v>95</v>
      </c>
      <c r="I163" s="19" t="s">
        <v>88</v>
      </c>
      <c r="J163" s="19" t="s">
        <v>95</v>
      </c>
      <c r="K163" s="19" t="s">
        <v>88</v>
      </c>
      <c r="L163" s="19" t="s">
        <v>94</v>
      </c>
      <c r="M163" s="19" t="s">
        <v>95</v>
      </c>
      <c r="N163" s="19" t="s">
        <v>318</v>
      </c>
      <c r="O163" s="19" t="s">
        <v>124</v>
      </c>
      <c r="P163" s="19" t="s">
        <v>187</v>
      </c>
      <c r="Q163" s="19" t="s">
        <v>127</v>
      </c>
      <c r="R163" s="19" t="s">
        <v>369</v>
      </c>
      <c r="S163" s="117">
        <v>0.45600000000000002</v>
      </c>
      <c r="T163" s="117">
        <v>0.27300000000000002</v>
      </c>
      <c r="U163" s="117">
        <v>0.32800000000000001</v>
      </c>
      <c r="V163" s="47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</row>
    <row r="164" spans="1:218" x14ac:dyDescent="0.35">
      <c r="A164" s="1"/>
      <c r="B164" s="1"/>
      <c r="C164" s="40"/>
      <c r="D164" s="20" t="s">
        <v>260</v>
      </c>
      <c r="E164" s="20" t="s">
        <v>95</v>
      </c>
      <c r="F164" s="20" t="s">
        <v>95</v>
      </c>
      <c r="G164" s="20" t="s">
        <v>95</v>
      </c>
      <c r="H164" s="20" t="s">
        <v>95</v>
      </c>
      <c r="I164" s="20" t="s">
        <v>88</v>
      </c>
      <c r="J164" s="20" t="s">
        <v>95</v>
      </c>
      <c r="K164" s="20" t="s">
        <v>88</v>
      </c>
      <c r="L164" s="20" t="s">
        <v>94</v>
      </c>
      <c r="M164" s="20" t="s">
        <v>95</v>
      </c>
      <c r="N164" s="20" t="s">
        <v>318</v>
      </c>
      <c r="O164" s="20" t="s">
        <v>124</v>
      </c>
      <c r="P164" s="20" t="s">
        <v>187</v>
      </c>
      <c r="Q164" s="20" t="s">
        <v>127</v>
      </c>
      <c r="R164" s="20" t="s">
        <v>370</v>
      </c>
      <c r="S164" s="118">
        <v>0.46200000000000002</v>
      </c>
      <c r="T164" s="118">
        <v>0.29699999999999999</v>
      </c>
      <c r="U164" s="118">
        <v>0.30199999999999999</v>
      </c>
      <c r="V164" s="47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</row>
    <row r="165" spans="1:218" x14ac:dyDescent="0.35">
      <c r="A165" s="1"/>
      <c r="B165" s="1"/>
      <c r="C165" s="40"/>
      <c r="D165" s="19" t="s">
        <v>261</v>
      </c>
      <c r="E165" s="19" t="s">
        <v>95</v>
      </c>
      <c r="F165" s="19" t="s">
        <v>95</v>
      </c>
      <c r="G165" s="19" t="s">
        <v>95</v>
      </c>
      <c r="H165" s="19" t="s">
        <v>95</v>
      </c>
      <c r="I165" s="19" t="s">
        <v>88</v>
      </c>
      <c r="J165" s="19" t="s">
        <v>95</v>
      </c>
      <c r="K165" s="19" t="s">
        <v>88</v>
      </c>
      <c r="L165" s="19" t="s">
        <v>94</v>
      </c>
      <c r="M165" s="19" t="s">
        <v>95</v>
      </c>
      <c r="N165" s="19" t="s">
        <v>318</v>
      </c>
      <c r="O165" s="19" t="s">
        <v>124</v>
      </c>
      <c r="P165" s="19" t="s">
        <v>187</v>
      </c>
      <c r="Q165" s="19" t="s">
        <v>127</v>
      </c>
      <c r="R165" s="19" t="s">
        <v>371</v>
      </c>
      <c r="S165" s="117">
        <v>0.495</v>
      </c>
      <c r="T165" s="117">
        <v>0.377</v>
      </c>
      <c r="U165" s="117">
        <v>0.28599999999999998</v>
      </c>
      <c r="V165" s="47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</row>
    <row r="166" spans="1:218" x14ac:dyDescent="0.35">
      <c r="A166" s="1"/>
      <c r="B166" s="1"/>
      <c r="C166" s="40"/>
      <c r="D166" s="20" t="s">
        <v>262</v>
      </c>
      <c r="E166" s="20" t="s">
        <v>95</v>
      </c>
      <c r="F166" s="20" t="s">
        <v>95</v>
      </c>
      <c r="G166" s="20" t="s">
        <v>95</v>
      </c>
      <c r="H166" s="20" t="s">
        <v>95</v>
      </c>
      <c r="I166" s="20" t="s">
        <v>88</v>
      </c>
      <c r="J166" s="20" t="s">
        <v>95</v>
      </c>
      <c r="K166" s="20" t="s">
        <v>88</v>
      </c>
      <c r="L166" s="20" t="s">
        <v>94</v>
      </c>
      <c r="M166" s="20" t="s">
        <v>95</v>
      </c>
      <c r="N166" s="20" t="s">
        <v>318</v>
      </c>
      <c r="O166" s="20" t="s">
        <v>124</v>
      </c>
      <c r="P166" s="20" t="s">
        <v>187</v>
      </c>
      <c r="Q166" s="20" t="s">
        <v>127</v>
      </c>
      <c r="R166" s="20" t="s">
        <v>372</v>
      </c>
      <c r="S166" s="118">
        <v>0.45500000000000002</v>
      </c>
      <c r="T166" s="118">
        <v>0.36799999999999999</v>
      </c>
      <c r="U166" s="118">
        <v>0.307</v>
      </c>
      <c r="V166" s="47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</row>
    <row r="167" spans="1:218" x14ac:dyDescent="0.35">
      <c r="A167" s="1"/>
      <c r="B167" s="1"/>
      <c r="C167" s="40"/>
      <c r="D167" s="19" t="s">
        <v>263</v>
      </c>
      <c r="E167" s="19" t="s">
        <v>95</v>
      </c>
      <c r="F167" s="19" t="s">
        <v>95</v>
      </c>
      <c r="G167" s="19" t="s">
        <v>95</v>
      </c>
      <c r="H167" s="19" t="s">
        <v>95</v>
      </c>
      <c r="I167" s="19" t="s">
        <v>88</v>
      </c>
      <c r="J167" s="19" t="s">
        <v>95</v>
      </c>
      <c r="K167" s="19" t="s">
        <v>88</v>
      </c>
      <c r="L167" s="19" t="s">
        <v>94</v>
      </c>
      <c r="M167" s="19" t="s">
        <v>95</v>
      </c>
      <c r="N167" s="19" t="s">
        <v>318</v>
      </c>
      <c r="O167" s="19" t="s">
        <v>124</v>
      </c>
      <c r="P167" s="19" t="s">
        <v>187</v>
      </c>
      <c r="Q167" s="19" t="s">
        <v>127</v>
      </c>
      <c r="R167" s="19" t="s">
        <v>373</v>
      </c>
      <c r="S167" s="117">
        <v>0.45600000000000002</v>
      </c>
      <c r="T167" s="117">
        <v>0.28599999999999998</v>
      </c>
      <c r="U167" s="117">
        <v>0.32200000000000001</v>
      </c>
      <c r="V167" s="47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</row>
    <row r="168" spans="1:218" x14ac:dyDescent="0.35">
      <c r="A168" s="1"/>
      <c r="B168" s="1"/>
      <c r="C168" s="40"/>
      <c r="D168" s="20" t="s">
        <v>264</v>
      </c>
      <c r="E168" s="20" t="s">
        <v>95</v>
      </c>
      <c r="F168" s="20" t="s">
        <v>95</v>
      </c>
      <c r="G168" s="20" t="s">
        <v>95</v>
      </c>
      <c r="H168" s="20" t="s">
        <v>95</v>
      </c>
      <c r="I168" s="20" t="s">
        <v>88</v>
      </c>
      <c r="J168" s="20" t="s">
        <v>95</v>
      </c>
      <c r="K168" s="20" t="s">
        <v>88</v>
      </c>
      <c r="L168" s="20" t="s">
        <v>94</v>
      </c>
      <c r="M168" s="20" t="s">
        <v>95</v>
      </c>
      <c r="N168" s="20" t="s">
        <v>318</v>
      </c>
      <c r="O168" s="20" t="s">
        <v>124</v>
      </c>
      <c r="P168" s="20" t="s">
        <v>187</v>
      </c>
      <c r="Q168" s="20" t="s">
        <v>127</v>
      </c>
      <c r="R168" s="20" t="s">
        <v>374</v>
      </c>
      <c r="S168" s="118">
        <v>0.47199999999999998</v>
      </c>
      <c r="T168" s="118">
        <v>0.28899999999999998</v>
      </c>
      <c r="U168" s="118">
        <v>0.34200000000000003</v>
      </c>
      <c r="V168" s="47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</row>
    <row r="169" spans="1:218" ht="15" thickBot="1" x14ac:dyDescent="0.4">
      <c r="A169" s="1"/>
      <c r="B169" s="1"/>
      <c r="C169" s="72"/>
      <c r="D169" s="73" t="s">
        <v>265</v>
      </c>
      <c r="E169" s="73" t="s">
        <v>95</v>
      </c>
      <c r="F169" s="73" t="s">
        <v>95</v>
      </c>
      <c r="G169" s="73" t="s">
        <v>95</v>
      </c>
      <c r="H169" s="73" t="s">
        <v>95</v>
      </c>
      <c r="I169" s="73" t="s">
        <v>88</v>
      </c>
      <c r="J169" s="73" t="s">
        <v>95</v>
      </c>
      <c r="K169" s="73" t="s">
        <v>88</v>
      </c>
      <c r="L169" s="73" t="s">
        <v>94</v>
      </c>
      <c r="M169" s="73" t="s">
        <v>95</v>
      </c>
      <c r="N169" s="73" t="s">
        <v>318</v>
      </c>
      <c r="O169" s="73" t="s">
        <v>124</v>
      </c>
      <c r="P169" s="73" t="s">
        <v>187</v>
      </c>
      <c r="Q169" s="73" t="s">
        <v>127</v>
      </c>
      <c r="R169" s="73" t="s">
        <v>375</v>
      </c>
      <c r="S169" s="124">
        <v>0.46</v>
      </c>
      <c r="T169" s="124">
        <v>0.35299999999999998</v>
      </c>
      <c r="U169" s="124">
        <v>0.23599999999999999</v>
      </c>
      <c r="V169" s="74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</row>
    <row r="170" spans="1:218" x14ac:dyDescent="0.35">
      <c r="A170" s="1"/>
      <c r="B170" s="1"/>
      <c r="C170" s="1"/>
      <c r="D170" s="1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4"/>
      <c r="T170" s="4"/>
      <c r="U170" s="4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</row>
    <row r="171" spans="1:218" x14ac:dyDescent="0.35">
      <c r="A171" s="1"/>
      <c r="B171" s="1"/>
      <c r="C171" s="1"/>
      <c r="D171" s="1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4"/>
      <c r="T171" s="4"/>
      <c r="U171" s="4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</row>
    <row r="172" spans="1:218" x14ac:dyDescent="0.35">
      <c r="A172" s="1"/>
      <c r="B172" s="1"/>
      <c r="C172" s="1"/>
      <c r="D172" s="1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4"/>
      <c r="T172" s="4"/>
      <c r="U172" s="4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</row>
    <row r="173" spans="1:218" x14ac:dyDescent="0.35">
      <c r="A173" s="1"/>
      <c r="B173" s="1"/>
      <c r="C173" s="1"/>
      <c r="D173" s="1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</row>
    <row r="174" spans="1:218" x14ac:dyDescent="0.35">
      <c r="A174" s="1"/>
      <c r="B174" s="1"/>
      <c r="C174" s="1"/>
      <c r="D174" s="1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</row>
    <row r="175" spans="1:218" x14ac:dyDescent="0.35">
      <c r="A175" s="1"/>
      <c r="B175" s="1"/>
      <c r="C175" s="1"/>
      <c r="D175" s="1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</row>
    <row r="176" spans="1:218" x14ac:dyDescent="0.35">
      <c r="A176" s="1"/>
      <c r="B176" s="1"/>
      <c r="C176" s="1"/>
      <c r="D176" s="1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</row>
    <row r="177" spans="1:218" x14ac:dyDescent="0.35">
      <c r="A177" s="1"/>
      <c r="B177" s="1"/>
      <c r="C177" s="1"/>
      <c r="D177" s="1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</row>
    <row r="178" spans="1:218" x14ac:dyDescent="0.35">
      <c r="A178" s="1"/>
      <c r="B178" s="1"/>
      <c r="C178" s="1"/>
      <c r="D178" s="1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</row>
    <row r="179" spans="1:218" x14ac:dyDescent="0.35">
      <c r="A179" s="1"/>
      <c r="B179" s="1"/>
      <c r="C179" s="1"/>
      <c r="D179" s="1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</row>
    <row r="180" spans="1:218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</row>
    <row r="181" spans="1:218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</row>
    <row r="182" spans="1:21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</row>
    <row r="183" spans="1:21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</row>
    <row r="184" spans="1:21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</row>
    <row r="185" spans="1:2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</row>
    <row r="186" spans="1:2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</row>
    <row r="187" spans="1:2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</row>
    <row r="188" spans="1:2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</row>
    <row r="189" spans="1:2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</row>
    <row r="190" spans="1:2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</row>
    <row r="191" spans="1:2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</row>
    <row r="192" spans="1:2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</row>
    <row r="193" spans="1:2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</row>
    <row r="194" spans="1:2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</row>
    <row r="195" spans="1:2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</row>
    <row r="196" spans="1:2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</row>
    <row r="197" spans="1:2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</row>
    <row r="198" spans="1:2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</row>
    <row r="199" spans="1:2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</row>
    <row r="200" spans="1:2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</row>
    <row r="201" spans="1:2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</row>
    <row r="202" spans="1:2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</row>
    <row r="203" spans="1:2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</row>
    <row r="204" spans="1:2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</row>
    <row r="205" spans="1:2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</row>
    <row r="206" spans="1:2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</row>
    <row r="207" spans="1:2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</row>
    <row r="208" spans="1:2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</row>
    <row r="209" spans="1:2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</row>
    <row r="210" spans="1:2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</row>
    <row r="211" spans="1:2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</row>
    <row r="212" spans="1:2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</row>
    <row r="213" spans="1:2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</row>
    <row r="214" spans="1:2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</row>
    <row r="215" spans="1:2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</row>
    <row r="216" spans="1:2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</row>
    <row r="217" spans="1:2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</row>
    <row r="218" spans="1:2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</row>
    <row r="219" spans="1:2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</row>
    <row r="220" spans="1:2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</row>
    <row r="221" spans="1:2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</row>
    <row r="222" spans="1:2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</row>
    <row r="223" spans="1:2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</row>
    <row r="224" spans="1:2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</row>
    <row r="225" spans="1:2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</row>
    <row r="226" spans="1:2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</row>
    <row r="227" spans="1:2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</row>
    <row r="228" spans="1:2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</row>
    <row r="229" spans="1:2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</row>
    <row r="230" spans="1:2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</row>
    <row r="231" spans="1:2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</row>
    <row r="232" spans="1:2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</row>
    <row r="233" spans="1:2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</row>
    <row r="234" spans="1:2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</row>
    <row r="235" spans="1:2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</row>
    <row r="236" spans="1:2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</row>
    <row r="237" spans="1:2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</row>
    <row r="238" spans="1:2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</row>
    <row r="239" spans="1:2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</row>
    <row r="240" spans="1:2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</row>
    <row r="241" spans="1:2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</row>
    <row r="242" spans="1:2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</row>
    <row r="243" spans="1:2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</row>
    <row r="244" spans="1:2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</row>
    <row r="245" spans="1:2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</row>
    <row r="246" spans="1:2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</row>
    <row r="247" spans="1:2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</row>
    <row r="248" spans="1:2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</row>
    <row r="249" spans="1:2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</row>
    <row r="250" spans="1:2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</row>
    <row r="251" spans="1:2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</row>
    <row r="252" spans="1:2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</row>
    <row r="253" spans="1:2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</row>
    <row r="254" spans="1:2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</row>
    <row r="255" spans="1:2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</row>
    <row r="256" spans="1:2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</row>
    <row r="257" spans="1:2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</row>
    <row r="258" spans="1:2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</row>
    <row r="259" spans="1:2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</row>
    <row r="260" spans="1:2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</row>
    <row r="261" spans="1:2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</row>
    <row r="262" spans="1:2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</row>
    <row r="263" spans="1:2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</row>
    <row r="264" spans="1:2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</row>
    <row r="265" spans="1:2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</row>
    <row r="266" spans="1:2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</row>
    <row r="267" spans="1:2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</row>
    <row r="268" spans="1:2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</row>
    <row r="269" spans="1:2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</row>
    <row r="270" spans="1:2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</row>
    <row r="271" spans="1:2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</row>
    <row r="272" spans="1:2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</row>
    <row r="273" spans="1:2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</row>
    <row r="274" spans="1:2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</row>
    <row r="275" spans="1:2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</row>
    <row r="276" spans="1:2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</row>
    <row r="277" spans="1:2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</row>
    <row r="278" spans="1:2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</row>
    <row r="279" spans="1:2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</row>
    <row r="280" spans="1:2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</row>
    <row r="281" spans="1:2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</row>
    <row r="282" spans="1:2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</row>
    <row r="283" spans="1:2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</row>
    <row r="284" spans="1:2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</row>
    <row r="285" spans="1:2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</row>
    <row r="286" spans="1:2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</row>
    <row r="287" spans="1:2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</row>
    <row r="288" spans="1:2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</row>
    <row r="289" spans="1:2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</row>
    <row r="290" spans="1:2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</row>
    <row r="291" spans="1:2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</row>
    <row r="292" spans="1:2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</row>
    <row r="293" spans="1:2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</row>
    <row r="294" spans="1:2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</row>
    <row r="295" spans="1:2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</row>
    <row r="296" spans="1:2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</row>
    <row r="297" spans="1:2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</row>
    <row r="298" spans="1:2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</row>
    <row r="299" spans="1:2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</row>
    <row r="300" spans="1:2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</row>
    <row r="301" spans="1:2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</row>
    <row r="302" spans="1:2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</row>
    <row r="303" spans="1:2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</row>
    <row r="304" spans="1:2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</row>
    <row r="305" spans="1:2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</row>
    <row r="306" spans="1:2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</row>
    <row r="307" spans="1:2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</row>
    <row r="308" spans="1:2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</row>
    <row r="309" spans="1:2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</row>
    <row r="310" spans="1:2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</row>
    <row r="311" spans="1:2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</row>
    <row r="312" spans="1:2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</row>
    <row r="313" spans="1:2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</row>
    <row r="314" spans="1:2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</row>
    <row r="315" spans="1:2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</row>
    <row r="316" spans="1:2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</row>
    <row r="317" spans="1:2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</row>
    <row r="318" spans="1:2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</row>
    <row r="319" spans="1:2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</row>
    <row r="320" spans="1:2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</row>
    <row r="321" spans="1:2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</row>
    <row r="322" spans="1:2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</row>
    <row r="323" spans="1:2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</row>
    <row r="324" spans="1:2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</row>
    <row r="325" spans="1:2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</row>
    <row r="326" spans="1:2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</row>
    <row r="327" spans="1:2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</row>
    <row r="328" spans="1:2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</row>
    <row r="329" spans="1:2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</row>
    <row r="330" spans="1:2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</row>
    <row r="331" spans="1:2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</row>
    <row r="332" spans="1:2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</row>
    <row r="333" spans="1:2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</row>
    <row r="334" spans="1:2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</row>
    <row r="335" spans="1:2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</row>
    <row r="336" spans="1:2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</row>
    <row r="337" spans="1:2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</row>
    <row r="338" spans="1:2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</row>
    <row r="339" spans="1:2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</row>
    <row r="340" spans="1:2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</row>
    <row r="341" spans="1:2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</row>
    <row r="342" spans="1:2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</row>
    <row r="343" spans="1:2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</row>
    <row r="344" spans="1:2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</row>
    <row r="345" spans="1:2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</row>
    <row r="346" spans="1:2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</row>
    <row r="347" spans="1:2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</row>
    <row r="348" spans="1:2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</row>
    <row r="349" spans="1:2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</row>
    <row r="350" spans="1:2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</row>
    <row r="351" spans="1:2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</row>
    <row r="352" spans="1:2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</row>
    <row r="353" spans="1:2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</row>
    <row r="354" spans="1:2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</row>
    <row r="355" spans="1:2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</row>
    <row r="356" spans="1:2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</row>
    <row r="357" spans="1:2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</row>
    <row r="358" spans="1:2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</row>
    <row r="359" spans="1:2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</row>
    <row r="360" spans="1:2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</row>
    <row r="361" spans="1:2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</row>
  </sheetData>
  <phoneticPr fontId="1" type="noConversion"/>
  <conditionalFormatting sqref="D1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 D14 D18 D20 D22 D24 D26 D28 D30 D32 D3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T35">
    <cfRule type="expression" dxfId="7" priority="21">
      <formula>"MOD(ROW(),2)=0"</formula>
    </cfRule>
    <cfRule type="expression" dxfId="6" priority="25">
      <formula>"MOD(ROW(),2)=0"</formula>
    </cfRule>
  </conditionalFormatting>
  <conditionalFormatting sqref="D10:U35">
    <cfRule type="expression" priority="1">
      <formula>ISEVEN(ROW())</formula>
    </cfRule>
    <cfRule type="expression" priority="2">
      <formula>"isEven(row())"</formula>
    </cfRule>
  </conditionalFormatting>
  <conditionalFormatting sqref="D102:U102 D104:U104 D106:U106">
    <cfRule type="expression" priority="5">
      <formula>ISEVEN(ROW())</formula>
    </cfRule>
    <cfRule type="expression" priority="6">
      <formula>"isEven(row())"</formula>
    </cfRule>
    <cfRule type="expression" dxfId="5" priority="7">
      <formula>"MOD(ROW(),2)=0"</formula>
    </cfRule>
    <cfRule type="expression" dxfId="4" priority="8">
      <formula>"MOD(ROW(),2)=0"</formula>
    </cfRule>
  </conditionalFormatting>
  <conditionalFormatting sqref="D100:V100">
    <cfRule type="expression" priority="9">
      <formula>ISEVEN(ROW())</formula>
    </cfRule>
    <cfRule type="expression" priority="10">
      <formula>"isEven(row())"</formula>
    </cfRule>
    <cfRule type="expression" dxfId="3" priority="11">
      <formula>"MOD(ROW(),2)=0"</formula>
    </cfRule>
    <cfRule type="expression" dxfId="2" priority="12">
      <formula>"MOD(ROW(),2)=0"</formula>
    </cfRule>
  </conditionalFormatting>
  <conditionalFormatting sqref="U10:U35">
    <cfRule type="expression" dxfId="1" priority="3">
      <formula>"MOD(ROW(),2)=0"</formula>
    </cfRule>
    <cfRule type="expression" dxfId="0" priority="4">
      <formula>"MOD(ROW(),2)=0"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Tiago Pereira Borges</dc:creator>
  <cp:lastModifiedBy>Luís Tiago Pereira Borges</cp:lastModifiedBy>
  <dcterms:created xsi:type="dcterms:W3CDTF">2024-11-30T13:17:23Z</dcterms:created>
  <dcterms:modified xsi:type="dcterms:W3CDTF">2025-01-22T00:26:16Z</dcterms:modified>
</cp:coreProperties>
</file>